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406108422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6a6a3d9d9edd486e"/>
    <x:sheet xmlns:r="http://schemas.openxmlformats.org/officeDocument/2006/relationships" name="1_Cost_Job" sheetId="2" r:id="Rb85ac116f6f141c6"/>
    <x:sheet xmlns:r="http://schemas.openxmlformats.org/officeDocument/2006/relationships" name="2_Pricing" sheetId="3" r:id="R5cd5bc4ff0f6470a"/>
    <x:sheet xmlns:r="http://schemas.openxmlformats.org/officeDocument/2006/relationships" name="3_Value_Metric" sheetId="4" r:id="R9c1e9e4490894ff0"/>
    <x:sheet xmlns:r="http://schemas.openxmlformats.org/officeDocument/2006/relationships" name="4_Channel_Fit" sheetId="5" r:id="R4e8427fc725843c4"/>
    <x:sheet xmlns:r="http://schemas.openxmlformats.org/officeDocument/2006/relationships" name="5_90Day_Plan" sheetId="6" r:id="Rb61d0edb98f747fe"/>
    <x:sheet xmlns:r="http://schemas.openxmlformats.org/officeDocument/2006/relationships" name="6_Benchmarks" sheetId="7" r:id="Rcdd00239469e4322"/>
    <x:sheet xmlns:r="http://schemas.openxmlformats.org/officeDocument/2006/relationships" name="7_Checkpoints" sheetId="9" r:id="R7ab1e487bcc945bd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5" authorId="0">
      <x:text>
        <x:r>
          <x:t>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<x:sst xmlns:x="http://schemas.openxmlformats.org/spreadsheetml/2006/main">
  <x:si>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</x:si>
  <x:si>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</x:si>
  <x:si>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</x:si>
  <x:si>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</x:si>
  <x:si>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</x:si>
  <x:si>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</x:si>
  <x:si>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</x:si>
  <x:si>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</x:si>
  <x:si>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</x:si>
  <x:si>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</x:si>
  <x:si>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</x:si>
  <x:si>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</x:si>
  <x:si>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</x:si>
  <x:si>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</x:si>
  <x:si>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</x:si>
  <x:si>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</x:si>
  <x:si>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</x:si>
  <x:si>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</x:si>
  <x:si>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</x:si>
  <x:si>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</x:si>
  <x:si>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</x:si>
  <x:si>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</x:si>
  <x:si>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</x:si>
  <x:si>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</x:si>
  <x:si>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</x:si>
  <x:si>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</x:si>
  <x:si>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</x:si>
  <x:si>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</x:si>
  <x:si>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</x:si>
  <x:si>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</x:si>
  <x:si>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</x:si>
  <x:si>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</x:si>
  <x:si>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</x:si>
  <x:si>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</x:si>
  <x:si>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1 lượt AI Tutor trả lời xong câu hỏi lab/code, có nguồn; lỗi/ngoài phạm vi chuyển người</x:t>
  </x:si>
  <x:si>
    <x:t xml:space="preserve">Phải là thứ KHÁCH coi là giá trị — không phải '1 request'</x:t>
  </x:si>
  <x:si>
    <x:t xml:space="preserve">Biến thể HITL: A hay B?</x:t>
  </x:si>
  <x:si>
    <x:t xml:space="preserve">A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</x:si>
  <x:si>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</x:si>
  <x:si>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</x:si>
  <x:si>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</x:si>
  <x:si>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</x:si>
  <x:si>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Quy mô mô hình giả định; chưa phải traffic production.</x:t>
  </x:si>
  <x:si>
    <x:t xml:space="preserve">Containment rate (AI tự làm xong)</x:t>
  </x:si>
  <x:si>
    <x:t xml:space="preserve">Eval Day 20–21: 23/25 ca synthetic pass; candidate vẫn HOLD.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</x:si>
  <x:si>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</x:si>
  <x:si>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</x:si>
  <x:si>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</x:si>
  <x:si>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</x:si>
  <x:si>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</x:si>
  <x:si>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</x:si>
  <x:si>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</x:si>
  <x:si>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</x:si>
  <x:si>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Giá cache READ ($ / 1M token)</x:t>
  </x:si>
  <x:si>
    <x:t xml:space="preserve">Số lượt (turns) / job</x:t>
  </x:si>
  <x:si>
    <x:t xml:space="preserve">lượt</x:t>
  </x:si>
  <x:si>
    <x:t xml:space="preserve">Một job = một response hoàn chỉnh trong results.jsonl.</x:t>
  </x:si>
  <x:si>
    <x:t xml:space="preserve">Token input CACHE ĐƯỢC / lượt</x:t>
  </x:si>
  <x:si>
    <x:t xml:space="preserve">token</x:t>
  </x:si>
  <x:si>
    <x:t xml:space="preserve">Không giả định cache vì run eval chưa log cache hit.</x:t>
  </x:si>
  <x:si>
    <x:t xml:space="preserve">Token input FRESH / lượt</x:t>
  </x:si>
  <x:si>
    <x:t xml:space="preserve">Bình quân thực đo: 566,345 / 25 = 22,653.8 prompt tokens/job.</x:t>
  </x:si>
  <x:si>
    <x:t xml:space="preserve">Token output / lượt</x:t>
  </x:si>
  <x:si>
    <x:t xml:space="preserve">Bình quân thực đo: 45,810 / 25 = 1,832.4 completion tokens/job.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</x:si>
  <x:si>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</x:si>
  <x:si>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</x:si>
  <x:si>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</x:si>
  <x:si>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</x:si>
  <x:si>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</x:si>
  <x:si>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</x:si>
  <x:si>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</x:si>
  <x:si>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</x:si>
  <x:si>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</x:si>
  <x:si>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</x:si>
  <x:si>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</x:si>
  <x:si>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</x:si>
  <x:si>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</x:si>
  <x:si>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</x:si>
  <x:si>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</x:si>
  <x:si>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</x:si>
  <x:si>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</x:si>
  <x:si>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</x:si>
  <x:si>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</x:si>
  <x:si>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</x:si>
  <x:si>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</x:si>
  <x:si>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</x:si>
  <x:si>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</x:si>
  <x:si>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</x:si>
  <x:si>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Ước tính: 7.000đ infra / 80 job / 26.000đ/USD từ Day 24.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</x:si>
  <x:si>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</x:si>
  <x:si>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</x:si>
  <x:si>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</x:si>
  <x:si>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</x:si>
  <x:si>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Ước tính cần đo lại trên traffic thật.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</x:si>
  <x:si>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</x:si>
  <x:si>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</x:si>
  <x:si>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</x:si>
  <x:si>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Ước tính fully-loaded cho QA nội bộ; không phải lương thay thế.</x:t>
  </x:si>
  <x:si>
    <x:t xml:space="preserve">% hội thoại QA nội bộ</x:t>
  </x:si>
  <x:si>
    <x:t xml:space="preserve">QA sample 5% vì eval đang HOLD.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</x:si>
  <x:si>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</x:si>
  <x:si>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</x:si>
  <x:si>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</x:si>
  <x:si>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</x:si>
  <x:si>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</x:si>
  <x:si>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</x:si>
  <x:si>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</x:si>
  <x:si>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</x:si>
  <x:si>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0 để tính pure COGS; chi phí team/fixed cost chưa có dữ liệu.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</x:si>
  <x:si>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</x:si>
  <x:si>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</x:si>
  <x:si>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</x:si>
  <x:si>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</x:si>
  <x:si>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</x:si>
  <x:si>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</x:si>
  <x:si>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</x:si>
  <x:si>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</x:si>
  <x:si>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</x:si>
  <x:si>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</x:si>
  <x:si>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</x:si>
  <x:si>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FX làm tròn dùng xuyên suốt Day 24–25.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</x:si>
  <x:si>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</x:si>
  <x:si>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</x:si>
  <x:si>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</x:si>
  <x:si>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</x:si>
  <x:si>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</x:si>
  <x:si>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</x:si>
  <x:si>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</x:si>
  <x:si>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</x:si>
  <x:si>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</x:si>
  <x:si>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</x:si>
  <x:si>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</x:si>
  <x:si>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</x:si>
  <x:si>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</x:si>
  <x:si>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</x:si>
  <x:si>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</x:si>
  <x:si>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</x:si>
  <x:si>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Chuẩn Day 28: 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</x:si>
  <x:si>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</x:si>
  <x:si>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</x:si>
  <x:si>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</x:si>
  <x:si>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Ước tính WTP: 4 giờ gia sư/tháng × 250.000đ; cần validate bằng phỏng vấn.</x:t>
  </x:si>
  <x:si>
    <x:t xml:space="preserve">Số job / tháng của 1 khách</x:t>
  </x:si>
  <x:si>
    <x:t xml:space="preserve">Gói Hybrid gồm 60 job hoàn thành/tháng; usage vượt gói phải trả thêm.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</x:si>
  <x:si>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</x:si>
  <x:si>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</x:si>
  <x:si>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</x:si>
  <x:si>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Không áp dụng: sản phẩm B2C không thay một vị trí nhân sự cụ thể.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</x:si>
  <x:si>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</x:si>
  <x:si>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</x:si>
  <x:si>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</x:si>
  <x:si>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</x:si>
  <x:si>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149.000đ/tháng ÷ 60 job ÷ 26.000đ/USD; neo giá Day 24.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</x:si>
  <x:si>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</x:si>
  <x:si>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</x:si>
  <x:si>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</x:si>
  <x:si>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</x:si>
  <x:si>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</x:si>
  <x:si>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</x:si>
  <x:si>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</x:si>
  <x:si>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</x:si>
  <x:si>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</x:si>
  <x:si>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</x:si>
  <x:si>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</x:si>
  <x:si>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</x:si>
  <x:si>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Ngưỡng an toàn nội bộ, cao hơn mốc rubric 50%.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</x:si>
  <x:si>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</x:si>
  <x:si>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</x:si>
  <x:si>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</x:si>
  <x:si>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</x:si>
  <x:si>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</x:si>
  <x:si>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</x:si>
  <x:si>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</x:si>
  <x:si>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</x:si>
  <x:si>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</x:si>
  <x:si>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</x:si>
  <x:si>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</x:si>
  <x:si>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</x:si>
  <x:si>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</x:si>
  <x:si>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</x:si>
  <x:si>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</x:si>
  <x:si>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</x:si>
  <x:si>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</x:si>
  <x:si>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(Day 21–22)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</x:si>
  <x:si>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</x:si>
  <x:si>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</x:si>
  <x:si>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</x:si>
  <x:si>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</x:si>
  <x:si>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</x:si>
  <x:si>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</x:si>
  <x:si>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</x:si>
  <x:si>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</x:si>
  <x:si>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</x:si>
  <x:si>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</x:si>
  <x:si>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</x:si>
  <x:si>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</x:si>
  <x:si>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</x:si>
  <x:si>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</x:si>
  <x:si>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</x:si>
  <x:si>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</x:si>
  <x:si>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</x:si>
  <x:si>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</x:si>
  <x:si>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</x:si>
  <x:si>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GitHub Copilot Pro</x:t>
  </x:si>
  <x:si>
    <x:t xml:space="preserve">Hybrid</x:t>
  </x:si>
  <x:si>
    <x:t xml:space="preserve">https://docs.github.com/en/copilot/get-started/plans</x:t>
  </x:si>
  <x:si>
    <x:t xml:space="preserve">ChatGPT Plus</x:t>
  </x:si>
  <x:si>
    <x:t xml:space="preserve">Seat / subscription</x:t>
  </x:si>
  <x:si>
    <x:t xml:space="preserve">$20/tháng; có usage limits</x:t>
  </x:si>
  <x:si>
    <x:t xml:space="preserve">https://help.openai.com/en/articles/6950777-what-is-chatgpt-plus</x:t>
  </x:si>
  <x:si>
    <x:t xml:space="preserve">QUYẾT ĐỊNH CUỐI</x:t>
  </x:si>
  <x:si>
    <x:t xml:space="preserve">Value Metric tôi chọn</x:t>
  </x:si>
  <x:si>
    <x:t xml:space="preserve">HYBRID</x:t>
  </x:si>
  <x:si>
    <x:t xml:space="preserve">Nếu KHÁC gợi ý — lý do thị trường là gì?</x:t>
  </x:si>
  <x:si>
    <x:t xml:space="preserve">Model gợi ý Usage vì Attribution 6/10; chọn Hybrid vì học viên Việt Nam cần hóa đơn dự đoán được, còn overage bảo vệ khỏi heavy-user loss.</x:t>
  </x:si>
  <x:si>
    <x:t xml:space="preserve">Decision Note — câu 1: tôi chọn đơn vị nào?</x:t>
  </x:si>
  <x:si>
    <x:t xml:space="preserve">149.000đ/tháng gồm 60 job hoàn thành; vượt allowance tính theo usage.</x:t>
  </x:si>
  <x:si>
    <x:t xml:space="preserve">Decision Note — câu 2: bằng chứng Attribution / Autonomy?</x:t>
  </x:si>
  <x:si>
    <x:t xml:space="preserve">Attribution 6/10; Autonomy 7/10; eval synthetic 23/25 pass nhưng schema 96%, quote-verbatim 29,2% và verdict HOLD nên chưa bán Outcome.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</x:si>
  <x:si>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</x:si>
  <x:si>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</x:si>
  <x:si>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</x:si>
  <x:si>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</x:si>
  <x:si>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</x:si>
  <x:si>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ARPU Day 24: 149.000đ/tháng ÷ 26.000đ/USD.</x:t>
  </x:si>
  <x:si>
    <x:t xml:space="preserve">Gross Margin (từ tab 2_Pricing)</x:t>
  </x:si>
  <x:si>
    <x:t xml:space="preserve">Phân khúc (SMB / Mid / Enterprise)</x:t>
  </x:si>
  <x:si>
    <x:t xml:space="preserve">SMB</x:t>
  </x:si>
  <x:si>
    <x:t xml:space="preserve">Proxy cho prosumer/B2C vì dropdown không có B2C.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</x:si>
  <x:si>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</x:si>
  <x:si>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</x:si>
  <x:si>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</x:si>
  <x:si>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</x:si>
  <x:si>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</x:si>
  <x:si>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</x:si>
  <x:si>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</x:si>
  <x:si>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</x:si>
  <x:si>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Quota benchmark giả định để test affordability; không phải kế hoạch tuyển AE.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</x:si>
  <x:si>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</x:si>
  <x:si>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</x:si>
  <x:si>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</x:si>
  <x:si>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</x:si>
  <x:si>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</x:si>
  <x:si>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</x:si>
  <x:si>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</x:si>
  <x:si>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</x:si>
  <x:si>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Back-solve từ CAC Day 24 = 350.000đ và win-rate proxy 25%.</x:t>
  </x:si>
  <x:si>
    <x:t xml:space="preserve">Win rate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</x:si>
  <x:si>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</x:si>
  <x:si>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</x:si>
  <x:si>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</x:si>
  <x:si>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</x:si>
  <x:si>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</x:si>
  <x:si>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</x:si>
  <x:si>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</x:si>
  <x:si>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</x:si>
  <x:si>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</x:si>
  <x:si>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</x:si>
  <x:si>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</x:si>
  <x:si>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</x:si>
  <x:si>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</x:si>
  <x:si>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</x:si>
  <x:si>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</x:si>
  <x:si>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</x:si>
  <x:si>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</x:si>
  <x:si>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</x:si>
  <x:si>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</x:si>
  <x:si>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N/A — không chọn Partner-Led trong 90 ngày đầu</x:t>
  </x:si>
  <x:si>
    <x:t xml:space="preserve">'Các nền tảng trong ngành' = chưa có kênh</x:t>
  </x:si>
  <x:si>
    <x:t xml:space="preserve">Đã nói chuyện với họ chưa? (Rồi / Chưa)</x:t>
  </x:si>
  <x:si>
    <x:t xml:space="preserve">Chưa</x:t>
  </x:si>
  <x:si>
    <x:t xml:space="preserve">Bạn mang lại giá trị gì cho partner?</x:t>
  </x:si>
  <x:si>
    <x:t xml:space="preserve">Nếu mở partner sau 90 ngày: cung cấp panel AI Tutor có eval/risk evidence để LMS tăng activation và retention.</x:t>
  </x:si>
  <x:si>
    <x:t xml:space="preserve">Nếu rơi vào vùng không khả thi — lối thoát nào?</x:t>
  </x:si>
  <x:si>
    <x:t xml:space="preserve">Giữ PLG; nếu activation thấp, sửa onboarding và free-to-paid trigger trước khi tuyển sales.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</x:si>
  <x:si>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</x:si>
  <x:si>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</x:si>
  <x:si>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</x:si>
  <x:si>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</x:si>
  <x:si>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</x:si>
  <x:si>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20:00–23:00, trong 5 phút đầu sau khi test/code báo lỗi</x:t>
  </x:si>
  <x:si>
    <x:t xml:space="preserve">Lúc đó họ ĐANG LÀM GÌ?</x:t>
  </x:si>
  <x:si>
    <x:t xml:space="preserve">Đang làm lab hoặc sửa code, đọc eval output nhưng chưa biết bước tiếp theo</x:t>
  </x:si>
  <x:si>
    <x:t xml:space="preserve">Họ đang DÙNG APP / KÊNH NÀO?</x:t>
  </x:si>
  <x:si>
    <x:t xml:space="preserve">Trang Lab + code editor của VLearn</x:t>
  </x:si>
  <x:si>
    <x:t xml:space="preserve">→ Điểm nhúng cụ thể của bạn</x:t>
  </x:si>
  <x:si>
    <x:t xml:space="preserve">Panel AI Tutor ngay trong code editor/lab page; tự mang context bài, lỗi và slide liên quan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</x:si>
  <x:si>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</x:si>
  <x:si>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</x:si>
  <x:si>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</x:si>
  <x:si>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</x:si>
  <x:si>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</x:si>
  <x:si>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</x:si>
  <x:si>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PLG — beta có kiểm soát</x:t>
  </x:si>
  <x:si>
    <x:t xml:space="preserve">PLG — in-product conversion</x:t>
  </x:si>
  <x:si>
    <x:t xml:space="preserve">PLG — mở rộng use case</x:t>
  </x:si>
  <x:si>
    <x:t xml:space="preserve">Mục tiêu số khách</x:t>
  </x:si>
  <x:si>
    <x:t xml:space="preserve">10 beta learners</x:t>
  </x:si>
  <x:si>
    <x:t xml:space="preserve">50 paying learners</x:t>
  </x:si>
  <x:si>
    <x:t xml:space="preserve">150 paying learners</x:t>
  </x:si>
  <x:si>
    <x:t xml:space="preserve">Việc cụ thể 1</x:t>
  </x:si>
  <x:si>
    <x:t xml:space="preserve">Tuyển 10 người và log ≥100 câu hỏi thật</x:t>
  </x:si>
  <x:si>
    <x:t xml:space="preserve">Thiết kế onboarding trong app</x:t>
  </x:si>
  <x:si>
    <x:t xml:space="preserve">Mở từ AI-evals sang Python/data labs theo usage</x:t>
  </x:si>
  <x:si>
    <x:t xml:space="preserve">Việc cụ thể 2</x:t>
  </x:si>
  <x:si>
    <x:t xml:space="preserve">Phỏng vấn 5 learners về pain/WTP</x:t>
  </x:si>
  <x:si>
    <x:t xml:space="preserve">Đặt allowance 60 job + paywall/overage</x:t>
  </x:si>
  <x:si>
    <x:t xml:space="preserve">A/B package và allowance</x:t>
  </x:si>
  <x:si>
    <x:t xml:space="preserve">Việc cụ thể 3</x:t>
  </x:si>
  <x:si>
    <x:t xml:space="preserve">Sửa schema và quote extraction</x:t>
  </x:si>
  <x:si>
    <x:t xml:space="preserve">Retest cùng bộ 25 ca cố định</x:t>
  </x:si>
  <x:si>
    <x:t xml:space="preserve">Xuất case study/pilot evidence trong app</x:t>
  </x:si>
  <x:si>
    <x:t xml:space="preserve">KPI đo được</x:t>
  </x:si>
  <x:si>
    <x:t xml:space="preserve">≥100 sessions; activation ≥60%; đo containment thật; 5 interview</x:t>
  </x:si>
  <x:si>
    <x:t xml:space="preserve">Schema 100%; quote ≥95%; paid conversion ≥5%; D30 retention ≥35%; GM ≥60%</x:t>
  </x:si>
  <x:si>
    <x:t xml:space="preserve">150 paid; CAC ≤350.000đ; containment ≥ breakeven +10đ%; GM ≥60%</x:t>
  </x:si>
  <x:si>
    <x:t xml:space="preserve">Người chịu trách nhiệm</x:t>
  </x:si>
  <x:si>
    <x:t xml:space="preserve">Trần Kiên (PM) · 30/09/2026</x:t>
  </x:si>
  <x:si>
    <x:t xml:space="preserve">Trần Kiên + Tech Lead · 30/11/2026</x:t>
  </x:si>
  <x:si>
    <x:t xml:space="preserve">PM Growth + Tech Lead · từ 01/12/2026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</x:si>
  <x:si>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</x:si>
  <x:si>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</x:si>
  <x:si>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</x:si>
  <x:si>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</x:si>
  <x:si>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</x:si>
  <x:si>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</x:si>
  <x:si>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(Day 21–22)</x:t>
  </x:si>
  <x:si>
    <x:t xml:space="preserve">25 ca synthetic: 23 pass, 1 fail, 1 uncertain (92%); schema 96%; quote-verbatim 29,2%; chưa có production traffic.</x:t>
  </x:si>
  <x:si>
    <x:t xml:space="preserve">Trần Kiên · hoàn tất 21/08/2026</x:t>
  </x:si>
  <x:si>
    <x:t xml:space="preserve">2. Risk Checklist (Day 24)</x:t>
  </x:si>
  <x:si>
    <x:t xml:space="preserve">3. Pilot Report</x:t>
  </x:si>
  <x:si>
    <x:t xml:space="preserve">Pilot 4 tuần / 10 learners / ≥100 sessions thật; báo cáo success, escalation, time saved và willingness-to-pay.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</x:si>
  <x:si>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</x:si>
  <x:si>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</x:si>
  <x:si>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</x:si>
  <x:si>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</x:si>
  <x:si>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</x:si>
  <x:si>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</x:si>
  <x:si>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</x:si>
  <x:si>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</x:si>
  <x:si>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</x:si>
  <x:si>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</x:si>
  <x:si>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</x:si>
  <x:si>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</x:si>
  <x:si>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</x:si>
  <x:si>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</x:si>
  <x:si>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</x:si>
  <x:si>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</x:si>
  <x:si>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</x:si>
  <x:si>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</x:si>
  <x:si>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</x:si>
  <x:si>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</x:si>
  <x:si>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</x:si>
  <x:si>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</x:si>
  <x:si>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</x:si>
  <x:si>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</x:si>
  <x:si>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</x:si>
  <x:si>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</x:si>
  <x:si>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</x:si>
  <x:si>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</x:si>
  <x:si>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</x:si>
  <x:si>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</x:si>
  <x:si>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</x:si>
  <x:si>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</x:si>
  <x:si>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</x:si>
  <x:si>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</x:si>
  <x:si>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</x:si>
  <x:si>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</x:si>
  <x:si>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</x:si>
  <x:si>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</x:si>
  <x:si>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</x:si>
  <x:si>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</x:si>
  <x:si>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</x:si>
  <x:si>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</x:si>
  <x:si>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</x:si>
  <x:si>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</x:si>
  <x:si>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</x:si>
  <x:si>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</x:si>
  <x:si>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</x:si>
  <x:si>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</x:si>
  <x:si>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</x:si>
  <x:si>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</x:si>
  <x:si>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</x:si>
  <x:si>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</x:si>
  <x:si>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</x:si>
  <x:si>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</x:si>
  <x:si>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</x:si>
  <x:si>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</x:si>
  <x:si>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</x:si>
  <x:si>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</x:si>
  <x:si>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</x:si>
  <x:si>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</x:si>
  <x:si>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</x:si>
  <x:si>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</x:si>
  <x:si>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</x:si>
  <x:si>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</x:si>
  <x:si>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</x:si>
  <x:si>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</x:si>
  <x:si>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</x:si>
  <x:si>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</x:si>
  <x:si>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</x:si>
  <x:si>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</x:si>
  <x:si>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</x:si>
  <x:si>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</x:si>
  <x:si>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</x:si>
  <x:si>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</x:si>
  <x:si>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</x:si>
  <x:si>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</x:si>
  <x:si>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</x:si>
  <x:si>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</x:si>
  <x:si>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</x:si>
  <x:si>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</x:si>
  <x:si>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</x:si>
  <x:si>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</x:si>
  <x:si>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</x:si>
  <x:si>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</x:si>
  <x:si>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</x:si>
  <x:si>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</x:si>
  <x:si>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</x:si>
  <x:si>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</x:si>
  <x:si>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</x:si>
  <x:si>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</x:si>
  <x:si>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</x:si>
  <x:si>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</x:si>
  <x:si>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</x:si>
  <x:si>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</x:si>
  <x:si>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</x:si>
  <x:si>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</x:si>
  <x:si>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</x:si>
  <x:si>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</x:si>
  <x:si>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</x:si>
  <x:si>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</x:si>
  <x:si>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</x:si>
  <x:si>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</x:si>
  <x:si>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</x:si>
  <x:si>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</x:si>
  <x:si>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</x:si>
  <x:si>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</x:si>
  <x:si>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</x:si>
  <x:si>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</x:si>
  <x:si>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</x:si>
  <x:si>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</x:si>
  <x:si>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</x:si>
  <x:si>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</x:si>
  <x:si>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</x:si>
  <x:si>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</x:si>
  <x:si>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</x:si>
  <x:si>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</x:si>
  <x:si>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</x:si>
  <x:si>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</x:si>
  <x:si>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</x:si>
  <x:si>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</x:si>
  <x:si>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</x:si>
  <x:si>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</x:si>
  <x:si>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</x:si>
  <x:si>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</x:si>
  <x:si>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</x:si>
  <x:si>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</x:si>
  <x:si>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</x:si>
  <x:si>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</x:si>
  <x:si>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</x:si>
  <x:si>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</x:si>
  <x:si>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</x:si>
  <x:si>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</x:si>
  <x:si>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</x:si>
  <x:si>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</x:si>
  <x:si>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DeepSeek V4 Flash — cache miss / cache hit / output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</x:si>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</x:sst>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2"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0.0%"/>
    <x:numFmt numFmtId="165" formatCode="\$#,##0.00"/>
    <x:numFmt numFmtId="166" formatCode="\$#,##0.0000"/>
    <x:numFmt numFmtId="167" formatCode="#,##0.0"/>
    <x:numFmt numFmtId="168" formatCode="#,##0&quot; ₫&quot;"/>
    <x:numFmt numFmtId="169" formatCode="\$#,##0"/>
    <x:numFmt numFmtId="170" formatCode="#,##0.0\×"/>
    <x:numFmt numFmtId="171" formatCode="\$0.0000"/>
  </x:numFmts>
  <x:fonts count="21">
    <x:font>
      <x:sz val="11"/>
      <x:color theme="1"/>
      <x:name val="Calibri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  <x:font>
      <x:b/>
      <x:sz val="11"/>
      <x:color rgb="FFFFFFFF"/>
      <x:name val="Calibri"/>
    </x:font>
    <x:font>
      <x:b/>
      <x:sz val="11"/>
      <x:color rgb="FF111827"/>
      <x:name val="Calibri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0"/>
      <x:color rgb="FF047857"/>
      <x:name val="Arial"/>
    </x:font>
    <x:font>
      <x:b/>
      <x:sz val="10"/>
      <x:color rgb="FF111827"/>
      <x:name val="Arial"/>
    </x:font>
    <x:font>
      <x:b/>
      <x:sz val="16"/>
      <x:color rgb="FFFFFFFF"/>
      <x:name val="Calibri"/>
    </x:font>
    <x:font>
      <x:b/>
      <x:sz val="11"/>
      <x:color theme="1"/>
      <x:name val="Calibri"/>
    </x:font>
    <x:font>
      <x:b/>
      <x:sz val="11"/>
      <x:color rgb="FFB45309"/>
      <x:name val="Calibri"/>
    </x:font>
    <x:font>
      <x:b/>
      <x:sz val="10"/>
      <x:color rgb="FFB45309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E8EAF6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</x:fills>
  <x:borders count="4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6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</x:cellStyleXfs>
  <x:cellXfs count="102">
    <x:xf numFmtId="0" fontId="0" fillId="0" borderId="0" xfId="0"/>
    <x:xf numFmtId="0" fontId="2" fillId="2" borderId="0" xfId="0" applyFont="1" applyFill="1"/>
    <x:xf numFmtId="0" fontId="0" fillId="2" borderId="0" xfId="0" applyFill="1"/>
    <x:xf numFmtId="0" fontId="3" fillId="0" borderId="0" xfId="0" applyFont="1"/>
    <x:xf numFmtId="0" fontId="4" fillId="0" borderId="0" xfId="0" applyFont="1"/>
    <x:xf numFmtId="0" fontId="5" fillId="3" borderId="1" xfId="0" applyFont="1" applyFill="1" applyBorder="1"/>
    <x:xf numFmtId="0" fontId="6" fillId="0" borderId="0" xfId="0" applyFont="1"/>
    <x:xf numFmtId="0" fontId="6" fillId="4" borderId="1" xfId="0" applyFont="1" applyFill="1" applyBorder="1"/>
    <x:xf numFmtId="0" fontId="8" fillId="0" borderId="0" xfId="0" applyFont="1"/>
    <x:xf numFmtId="0" fontId="4" fillId="6" borderId="0" xfId="0" applyFont="1" applyFill="1"/>
    <x:xf numFmtId="0" fontId="0" fillId="6" borderId="0" xfId="0" applyFill="1"/>
    <x:xf numFmtId="0" fontId="5" fillId="3" borderId="1" xfId="0" applyFont="1" applyFill="1" applyBorder="1" applyAlignment="1">
      <x:alignment horizontal="center"/>
    </x:xf>
    <x:xf numFmtId="3" fontId="5" fillId="3" borderId="1" xfId="0" applyNumberFormat="1" applyFont="1" applyFill="1" applyBorder="1"/>
    <x:xf numFmtId="164" fontId="5" fillId="3" borderId="1" xfId="0" applyNumberFormat="1" applyFont="1" applyFill="1" applyBorder="1"/>
    <x:xf numFmtId="3" fontId="6" fillId="4" borderId="1" xfId="0" applyNumberFormat="1" applyFont="1" applyFill="1" applyBorder="1"/>
    <x:xf numFmtId="165" fontId="5" fillId="3" borderId="1" xfId="0" applyNumberFormat="1" applyFont="1" applyFill="1" applyBorder="1"/>
    <x:xf numFmtId="166" fontId="6" fillId="4" borderId="1" xfId="0" applyNumberFormat="1" applyFont="1" applyFill="1" applyBorder="1"/>
    <x:xf numFmtId="166" fontId="9" fillId="4" borderId="1" xfId="0" applyNumberFormat="1" applyFont="1" applyFill="1" applyBorder="1"/>
    <x:xf numFmtId="164" fontId="6" fillId="4" borderId="1" xfId="0" applyNumberFormat="1" applyFont="1" applyFill="1" applyBorder="1"/>
    <x:xf numFmtId="166" fontId="5" fillId="3" borderId="1" xfId="0" applyNumberFormat="1" applyFont="1" applyFill="1" applyBorder="1"/>
    <x:xf numFmtId="167" fontId="5" fillId="3" borderId="1" xfId="0" applyNumberFormat="1" applyFont="1" applyFill="1" applyBorder="1"/>
    <x:xf numFmtId="165" fontId="6" fillId="4" borderId="1" xfId="0" applyNumberFormat="1" applyFont="1" applyFill="1" applyBorder="1"/>
    <x:xf numFmtId="165" fontId="9" fillId="4" borderId="1" xfId="0" applyNumberFormat="1" applyFont="1" applyFill="1" applyBorder="1"/>
    <x:xf numFmtId="168" fontId="6" fillId="4" borderId="1" xfId="0" applyNumberFormat="1" applyFont="1" applyFill="1" applyBorder="1"/>
    <x:xf numFmtId="166" fontId="7" fillId="4" borderId="1" xfId="0" applyNumberFormat="1" applyFont="1" applyFill="1" applyBorder="1"/>
    <x:xf numFmtId="169" fontId="5" fillId="3" borderId="1" xfId="0" applyNumberFormat="1" applyFont="1" applyFill="1" applyBorder="1"/>
    <x:xf numFmtId="170" fontId="6" fillId="4" borderId="1" xfId="0" applyNumberFormat="1" applyFont="1" applyFill="1" applyBorder="1"/>
    <x:xf numFmtId="164" fontId="9" fillId="4" borderId="1" xfId="0" applyNumberFormat="1" applyFont="1" applyFill="1" applyBorder="1"/>
    <x:xf numFmtId="164" fontId="7" fillId="4" borderId="1" xfId="0" applyNumberFormat="1" applyFont="1" applyFill="1" applyBorder="1"/>
    <x:xf numFmtId="0" fontId="8" fillId="5" borderId="1" xfId="0" applyFont="1" applyFill="1" applyBorder="1"/>
    <x:xf numFmtId="164" fontId="6" fillId="5" borderId="1" xfId="0" applyNumberFormat="1" applyFont="1" applyFill="1" applyBorder="1"/>
    <x:xf numFmtId="3" fontId="9" fillId="4" borderId="1" xfId="0" applyNumberFormat="1" applyFont="1" applyFill="1" applyBorder="1"/>
    <x:xf numFmtId="0" fontId="9" fillId="4" borderId="1" xfId="0" applyFont="1" applyFill="1" applyBorder="1"/>
    <x:xf numFmtId="169" fontId="9" fillId="4" borderId="1" xfId="0" applyNumberFormat="1" applyFont="1" applyFill="1" applyBorder="1"/>
    <x:xf numFmtId="169" fontId="6" fillId="4" borderId="1" xfId="0" applyNumberFormat="1" applyFont="1" applyFill="1" applyBorder="1"/>
    <x:xf numFmtId="4" fontId="9" fillId="4" borderId="1" xfId="0" applyNumberFormat="1" applyFont="1" applyFill="1" applyBorder="1"/>
    <x:xf numFmtId="170" fontId="9" fillId="4" borderId="1" xfId="0" applyNumberFormat="1" applyFont="1" applyFill="1" applyBorder="1"/>
    <x:xf numFmtId="0" fontId="5" fillId="3" borderId="1" xfId="0" applyFont="1" applyFill="1" applyBorder="1" applyAlignment="1">
      <x:alignment vertical="top" wrapText="1"/>
    </x:xf>
    <x:xf numFmtId="0" fontId="10" fillId="2" borderId="1" xfId="0" applyFont="1" applyFill="1" applyBorder="1"/>
    <x:xf numFmtId="0" fontId="6" fillId="5" borderId="1" xfId="0" applyFont="1" applyFill="1" applyBorder="1" applyAlignment="1">
      <x:alignment vertical="top"/>
    </x:xf>
    <x:xf numFmtId="0" fontId="3" fillId="5" borderId="1" xfId="0" applyFont="1" applyFill="1" applyBorder="1" applyAlignment="1">
      <x:alignment vertical="top" wrapText="1"/>
    </x:xf>
    <x:xf numFmtId="0" fontId="11" fillId="7" borderId="0" xfId="0" applyFont="1" applyFill="1"/>
    <x:xf numFmtId="0" fontId="0" fillId="0" borderId="0" xfId="0" applyAlignment="1">
      <x:alignment wrapText="1"/>
    </x:xf>
    <x:xf numFmtId="0" fontId="10" fillId="7" borderId="0" xfId="0" applyFont="1" applyFill="1"/>
    <x:xf numFmtId="0" fontId="13" fillId="9" borderId="0" xfId="0" applyFont="1" applyFill="1"/>
    <x:xf numFmtId="0" fontId="14" fillId="0" borderId="0" xfId="0" applyFont="1"/>
    <x:xf numFmtId="0" fontId="15" fillId="0" borderId="0" xfId="0" applyFont="1"/>
    <x:xf numFmtId="0" fontId="13" fillId="0" borderId="0" xfId="0" applyFont="1"/>
    <x:xf numFmtId="0" fontId="16" fillId="8" borderId="2" xfId="0" applyFont="1" applyFill="1" applyBorder="1" applyAlignment="1">
      <x:alignment wrapText="1"/>
    </x:xf>
    <x:xf numFmtId="0" fontId="13" fillId="0" borderId="2" xfId="0" applyFont="1" applyBorder="1" applyAlignment="1">
      <x:alignment wrapText="1"/>
    </x:xf>
    <x:xf numFmtId="0" fontId="14" fillId="8" borderId="2" xfId="0" applyFont="1" applyFill="1" applyBorder="1" applyAlignment="1">
      <x:alignment wrapText="1"/>
    </x:xf>
    <x:xf numFmtId="10" fontId="13" fillId="0" borderId="2" xfId="0" applyNumberFormat="1" applyFont="1" applyBorder="1" applyAlignment="1">
      <x:alignment wrapText="1"/>
    </x:xf>
    <x:xf numFmtId="171" fontId="13" fillId="0" borderId="2" xfId="0" applyNumberFormat="1" applyFont="1" applyBorder="1" applyAlignment="1">
      <x:alignment wrapText="1"/>
    </x:xf>
    <x:xf numFmtId="0" fontId="12" fillId="8" borderId="3" xfId="0" applyFont="1" applyFill="1" applyBorder="1" applyAlignment="1">
      <x:alignment vertical="center"/>
    </x:xf>
    <x:xf numFmtId="0" fontId="0" fillId="0" borderId="3" xfId="0" applyBorder="1" applyAlignment="1">
      <x:alignment vertical="center" wrapText="1"/>
    </x:xf>
    <x:xf numFmtId="0" fontId="0" fillId="0" borderId="3" xfId="0" applyBorder="1" applyAlignment="1">
      <x:alignment wrapText="1"/>
    </x:xf>
    <x:xf numFmtId="0" fontId="4" fillId="0" borderId="3" xfId="0" applyFont="1" applyBorder="1"/>
    <x:xf numFmtId="0" fontId="0" fillId="0" borderId="3" xfId="0" applyBorder="1"/>
    <x:xf numFmtId="0" fontId="8" fillId="0" borderId="3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0" fontId="5" fillId="3" borderId="3" xfId="0" applyFont="1" applyFill="1" applyBorder="1"/>
    <x:xf numFmtId="0" fontId="6" fillId="0" borderId="3" xfId="0" applyFont="1" applyBorder="1"/>
    <x:xf numFmtId="0" fontId="6" fillId="4" borderId="3" xfId="0" applyFont="1" applyFill="1" applyBorder="1"/>
    <x:xf numFmtId="0" fontId="7" fillId="0" borderId="3" xfId="0" applyFont="1" applyBorder="1"/>
    <x:xf numFmtId="0" fontId="6" fillId="5" borderId="3" xfId="0" applyFont="1" applyFill="1" applyBorder="1"/>
    <x:xf numFmtId="0" fontId="11" fillId="10" borderId="0" xfId="0" applyNumberFormat="1" applyFont="1" applyFill="1" applyBorder="1"/>
    <x:xf numFmtId="0" fontId="12" fillId="11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0" fillId="12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0" fillId="10" borderId="0" xfId="0" applyNumberFormat="1" applyFont="1" applyFill="1" applyBorder="1"/>
    <x:xf numFmtId="0" fontId="13" fillId="12" borderId="0" xfId="0" applyNumberFormat="1" applyFont="1" applyFill="1" applyBorder="1"/>
    <x:xf numFmtId="0" fontId="14" fillId="0" borderId="0" xfId="0" applyNumberFormat="1" applyFont="1" applyFill="1" applyBorder="1"/>
    <x:xf numFmtId="0" fontId="20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2" xfId="0" applyNumberFormat="1" applyFont="1" applyFill="1" applyBorder="1"/>
    <x:xf numFmtId="0" fontId="13" fillId="0" borderId="2" xfId="0" applyNumberFormat="1" applyFont="1" applyFill="1" applyBorder="1"/>
    <x:xf numFmtId="0" fontId="14" fillId="11" borderId="2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1" fillId="13" borderId="2" xfId="0" applyNumberFormat="1" applyFont="1" applyFill="1" applyBorder="1"/>
    <x:xf numFmtId="0" fontId="18" fillId="14" borderId="2" xfId="0" applyNumberFormat="1" applyFont="1" applyFill="1" applyBorder="1"/>
    <x:xf numFmtId="0" fontId="0" fillId="0" borderId="2" xfId="0" applyNumberFormat="1" applyFont="1" applyFill="1" applyBorder="1"/>
    <x:xf numFmtId="0" fontId="11" fillId="13" borderId="2" xfId="0" applyNumberFormat="1" applyFont="1" applyFill="1" applyBorder="1" applyAlignment="1">
      <x:alignment wrapText="1"/>
    </x:xf>
    <x:xf numFmtId="0" fontId="18" fillId="1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13" borderId="2" xfId="0" applyNumberFormat="1" applyFont="1" applyFill="1" applyBorder="1" applyAlignment="1">
      <x:alignment wrapText="1"/>
    </x:xf>
    <x:xf numFmtId="0" fontId="14" fillId="14" borderId="2" xfId="0" applyNumberFormat="1" applyFont="1" applyFill="1" applyBorder="1" applyAlignment="1">
      <x:alignment wrapText="1"/>
    </x:xf>
    <x:xf numFmtId="0" fontId="10" fillId="15" borderId="2" xfId="0" applyNumberFormat="1" applyFont="1" applyFill="1" applyBorder="1" applyAlignment="1">
      <x:alignment wrapText="1"/>
    </x:xf>
    <x:xf numFmtId="0" fontId="14" fillId="16" borderId="2" xfId="0" applyNumberFormat="1" applyFont="1" applyFill="1" applyBorder="1" applyAlignment="1">
      <x:alignment wrapText="1"/>
    </x:xf>
    <x:xf numFmtId="0" fontId="10" fillId="17" borderId="2" xfId="0" applyNumberFormat="1" applyFont="1" applyFill="1" applyBorder="1" applyAlignment="1">
      <x:alignment wrapText="1"/>
    </x:xf>
    <x:xf numFmtId="0" fontId="14" fillId="18" borderId="2" xfId="0" applyNumberFormat="1" applyFont="1" applyFill="1" applyBorder="1" applyAlignment="1">
      <x:alignment wrapText="1"/>
    </x:xf>
  </x:cellXfs>
  <x:cellStyles count="6">
    <x:cellStyle name="Comma" xfId="1"/>
    <x:cellStyle name="Comma [0]" xfId="2"/>
    <x:cellStyle name="Currency" xfId="3"/>
    <x:cellStyle name="Currency [0]" xfId="4"/>
    <x:cellStyle name="Normal" xfId="0"/>
    <x:cellStyle name="Percent" xfId="5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EAF6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DEDED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2937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e740d278b4053" /><Relationship Type="http://schemas.openxmlformats.org/officeDocument/2006/relationships/theme" Target="/xl/theme/theme1.xml" Id="R7d8d5ff8a3bd4afe" /><Relationship Type="http://schemas.openxmlformats.org/officeDocument/2006/relationships/sharedStrings" Target="/xl/sharedStrings.xml" Id="Rc29a6b03f69a4ff3" /><Relationship Type="http://schemas.openxmlformats.org/officeDocument/2006/relationships/worksheet" Target="/xl/worksheets/sheet1.xml" Id="R6a6a3d9d9edd486e" /><Relationship Type="http://schemas.openxmlformats.org/officeDocument/2006/relationships/worksheet" Target="/xl/worksheets/sheet2.xml" Id="Rb85ac116f6f141c6" /><Relationship Type="http://schemas.openxmlformats.org/officeDocument/2006/relationships/worksheet" Target="/xl/worksheets/sheet3.xml" Id="R5cd5bc4ff0f6470a" /><Relationship Type="http://schemas.openxmlformats.org/officeDocument/2006/relationships/worksheet" Target="/xl/worksheets/sheet4.xml" Id="R9c1e9e4490894ff0" /><Relationship Type="http://schemas.openxmlformats.org/officeDocument/2006/relationships/worksheet" Target="/xl/worksheets/sheet5.xml" Id="R4e8427fc725843c4" /><Relationship Type="http://schemas.openxmlformats.org/officeDocument/2006/relationships/worksheet" Target="/xl/worksheets/sheet6.xml" Id="Rb61d0edb98f747fe" /><Relationship Type="http://schemas.openxmlformats.org/officeDocument/2006/relationships/worksheet" Target="/xl/worksheets/sheet7.xml" Id="Rcdd00239469e4322" /><Relationship Type="http://schemas.openxmlformats.org/officeDocument/2006/relationships/worksheet" Target="/xl/worksheets/sheet8.xml" Id="R7ab1e487bcc945bd" /><Relationship Type="http://schemas.microsoft.com/office/2017/10/relationships/person" Target="/xl/persons/person.xml" Id="Ra86970940d3e40bf" /></Relationships>
</file>

<file path=xl/persons/person.xml><?xml version="1.0" encoding="utf-8"?>
<xltc:personList xmlns:xltc="http://schemas.microsoft.com/office/spreadsheetml/2018/threadedcomments">
  <xltc:person displayName="Unknown Author" id="{B58733AE-F455-C3F6-5975-1E8984D65115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fbf45d3309c4d91" /><Relationship Type="http://schemas.openxmlformats.org/officeDocument/2006/relationships/vmlDrawing" Target="/xl/drawings/vmldrawing.vml" Id="R55f05be1ee5c4713" /></Relationships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52" customWidth="1"/>
    <x:col min="2" max="2" width="62" customWidth="1"/>
    <x:col min="3" max="4" width="15" customWidth="1"/>
    <x:col min="5" max="5" width="30.28515625" customWidth="1"/>
    <x:col min="6" max="8" width="15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>
      <x:c r="A2" s="3" t="s">
        <x:v>1</x:v>
      </x:c>
    </x:row>
    <x:row r="4">
      <x:c r="A4" s="56" t="s">
        <x:v>2</x:v>
      </x:c>
      <x:c r="B4" s="57"/>
    </x:row>
    <x:row r="5">
      <x:c r="A5" s="60" t="s">
        <x:v>3</x:v>
      </x:c>
      <x:c r="B5" s="61" t="s">
        <x:v>4</x:v>
      </x:c>
    </x:row>
    <x:row r="6">
      <x:c r="A6" s="62" t="s">
        <x:v>5</x:v>
      </x:c>
      <x:c r="B6" s="61" t="s">
        <x:v>6</x:v>
      </x:c>
    </x:row>
    <x:row r="7">
      <x:c r="A7" s="63" t="s">
        <x:v>7</x:v>
      </x:c>
      <x:c r="B7" s="61" t="s">
        <x:v>8</x:v>
      </x:c>
    </x:row>
    <x:row r="8">
      <x:c r="A8" s="64" t="s">
        <x:v>9</x:v>
      </x:c>
      <x:c r="B8" s="61" t="s">
        <x:v>10</x:v>
      </x:c>
    </x:row>
    <x:row r="10">
      <x:c r="A10" s="56" t="s">
        <x:v>11</x:v>
      </x:c>
      <x:c r="B10" s="57"/>
      <x:c r="D10" s="65" t="str">
        <x:v>BẢN NỘP</x:v>
      </x:c>
      <x:c r="E10" s="65"/>
      <x:c r="F10" s="65"/>
      <x:c r="G10" s="65"/>
      <x:c r="H10" s="65"/>
    </x:row>
    <x:row r="11" ht="45">
      <x:c r="A11" s="58" t="s">
        <x:v>12</x:v>
      </x:c>
      <x:c r="B11" s="59" t="s">
        <x:v>13</x:v>
      </x:c>
      <x:c r="D11" s="66" t="str">
        <x:v>Sản phẩm</x:v>
      </x:c>
      <x:c r="E11" s="67" t="str">
        <x:v>VLearn AI Tutor — Diagnostic Refresher &amp; Code Troubleshooting</x:v>
      </x:c>
      <x:c r="F11" s="68"/>
      <x:c r="G11" s="68"/>
      <x:c r="H11" s="68"/>
    </x:row>
    <x:row r="12" ht="30">
      <x:c r="A12" s="58" t="s">
        <x:v>14</x:v>
      </x:c>
      <x:c r="B12" s="59" t="s">
        <x:v>15</x:v>
      </x:c>
      <x:c r="D12" s="66" t="str">
        <x:v>Chủ sở hữu</x:v>
      </x:c>
      <x:c r="E12" s="67" t="str">
        <x:v>Trần Kiên / Nhóm VLearn AI Tutor</x:v>
      </x:c>
      <x:c r="F12" s="68"/>
      <x:c r="G12" s="68"/>
      <x:c r="H12" s="68"/>
    </x:row>
    <x:row r="13">
      <x:c r="A13" s="58" t="s">
        <x:v>16</x:v>
      </x:c>
      <x:c r="B13" s="59" t="s">
        <x:v>17</x:v>
      </x:c>
      <x:c r="D13" s="66" t="str">
        <x:v>Ngày cập nhật</x:v>
      </x:c>
      <x:c r="E13" s="67" t="str">
        <x:v>2026-08-28</x:v>
      </x:c>
      <x:c r="F13" s="68"/>
      <x:c r="G13" s="68"/>
      <x:c r="H13" s="68"/>
    </x:row>
    <x:row r="14" ht="30">
      <x:c r="A14" s="58" t="s">
        <x:v>18</x:v>
      </x:c>
      <x:c r="B14" s="59" t="s">
        <x:v>19</x:v>
      </x:c>
      <x:c r="D14" s="66" t="str">
        <x:v>Tình trạng</x:v>
      </x:c>
      <x:c r="E14" s="67" t="str">
        <x:v>Đã hoàn thành mô hình, Risk Checklist và log prompt; còn Pilot Report và test người lạ</x:v>
      </x:c>
      <x:c r="F14" s="68"/>
      <x:c r="G14" s="68"/>
      <x:c r="H14" s="68"/>
    </x:row>
    <x:row r="15">
      <x:c r="A15" s="58" t="s">
        <x:v>20</x:v>
      </x:c>
      <x:c r="B15" s="59" t="s">
        <x:v>21</x:v>
      </x:c>
    </x:row>
    <x:row r="16">
      <x:c r="A16" s="58" t="s">
        <x:v>22</x:v>
      </x:c>
      <x:c r="B16" s="59" t="s">
        <x:v>23</x:v>
      </x:c>
    </x:row>
    <x:row r="18">
      <x:c r="A18" s="4" t="s">
        <x:v>24</x:v>
      </x:c>
    </x:row>
    <x:row r="19">
      <x:c r="A19" s="6" t="s">
        <x:v>25</x:v>
      </x:c>
    </x:row>
    <x:row r="20">
      <x:c r="A20" s="6" t="s">
        <x:v>26</x:v>
      </x:c>
    </x:row>
    <x:row r="21">
      <x:c r="A21" s="6" t="s">
        <x:v>27</x:v>
      </x:c>
    </x:row>
    <x:row r="23">
      <x:c r="A23" s="3" t="s">
        <x:v>28</x:v>
      </x:c>
    </x:row>
    <x:row r="24">
      <x:c r="A24" s="3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109375" defaultRowHeight="15"/>
  <x:cols>
    <x:col min="1" max="1" width="46" customWidth="1"/>
    <x:col min="2" max="3" width="16" customWidth="1"/>
    <x:col min="4" max="4" width="52" customWidth="1"/>
    <x:col min="5" max="8" width="15" customWidth="1"/>
  </x:cols>
  <x:sheetData>
    <x:row r="1" ht="24" customHeight="1">
      <x:c r="A1" s="1" t="s">
        <x:v>30</x:v>
      </x:c>
      <x:c r="B1" s="2"/>
      <x:c r="C1" s="2"/>
      <x:c r="D1" s="2"/>
      <x:c r="E1" s="2"/>
      <x:c r="F1" s="2"/>
      <x:c r="G1" s="2"/>
      <x:c r="H1" s="2"/>
    </x:row>
    <x:row r="2">
      <x:c r="A2" s="3" t="s">
        <x:v>31</x:v>
      </x:c>
    </x:row>
    <x:row r="4">
      <x:c r="A4" s="9" t="s">
        <x:v>32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33</x:v>
      </x:c>
      <x:c r="B5" s="5" t="s">
        <x:v>34</x:v>
      </x:c>
      <x:c r="D5" s="3" t="s">
        <x:v>35</x:v>
      </x:c>
    </x:row>
    <x:row r="6">
      <x:c r="A6" s="6" t="s">
        <x:v>36</x:v>
      </x:c>
      <x:c r="B6" s="11" t="s">
        <x:v>37</x:v>
      </x:c>
      <x:c r="D6" s="3" t="s">
        <x:v>38</x:v>
      </x:c>
    </x:row>
    <x:row r="8">
      <x:c r="A8" s="9" t="s">
        <x:v>39</x:v>
      </x:c>
      <x:c r="B8" s="10"/>
      <x:c r="C8" s="10"/>
      <x:c r="D8" s="10"/>
      <x:c r="E8" s="10"/>
      <x:c r="F8" s="10"/>
      <x:c r="G8" s="10"/>
      <x:c r="H8" s="10"/>
    </x:row>
    <x:row r="9">
      <x:c r="A9" s="6" t="s">
        <x:v>40</x:v>
      </x:c>
      <x:c r="B9" s="12">
        <x:v>1000</x:v>
      </x:c>
      <x:c r="C9" s="3" t="s">
        <x:v>41</x:v>
      </x:c>
      <x:c r="D9" t="s">
        <x:v>42</x:v>
      </x:c>
    </x:row>
    <x:row r="10">
      <x:c r="A10" s="6" t="s">
        <x:v>43</x:v>
      </x:c>
      <x:c r="B10" s="13">
        <x:v>0.92</x:v>
      </x:c>
      <x:c r="D10" s="3" t="s">
        <x:v>44</x:v>
      </x:c>
    </x:row>
    <x:row r="11">
      <x:c r="A11" s="6" t="s">
        <x:v>45</x:v>
      </x:c>
      <x:c r="B11" s="14" t="n">
        <x:f>B9*B10</x:f>
        <x:v>920</x:v>
      </x:c>
      <x:c r="C11" s="3" t="s">
        <x:v>41</x:v>
      </x:c>
      <x:c r="D11" s="3" t="s">
        <x:v>46</x:v>
      </x:c>
    </x:row>
    <x:row r="12">
      <x:c r="A12" s="6" t="s">
        <x:v>47</x:v>
      </x:c>
      <x:c r="B12" s="14" t="n">
        <x:f>B9-B11</x:f>
        <x:v>80</x:v>
      </x:c>
      <x:c r="C12" s="3" t="s">
        <x:v>41</x:v>
      </x:c>
      <x:c r="D12" s="3" t="s">
        <x:v>48</x:v>
      </x:c>
    </x:row>
    <x:row r="14">
      <x:c r="A14" s="9" t="s">
        <x:v>49</x:v>
      </x:c>
      <x:c r="B14" s="10"/>
      <x:c r="C14" s="10"/>
      <x:c r="D14" s="10"/>
      <x:c r="E14" s="10"/>
      <x:c r="F14" s="10"/>
      <x:c r="G14" s="10"/>
      <x:c r="H14" s="10"/>
    </x:row>
    <x:row r="15">
      <x:c r="A15" s="6" t="s">
        <x:v>50</x:v>
      </x:c>
      <x:c r="B15" s="15" t="n">
        <x:v>0.22</x:v>
      </x:c>
      <x:c r="D15" s="3" t="str">
        <x:v>DeepSeek V4 Flash OFF-PEAK cache-miss; kiểm tra 2026-08-28: https://api-docs.deepseek.com/quick_start/pricing/</x:v>
      </x:c>
    </x:row>
    <x:row r="16">
      <x:c r="A16" s="6" t="s">
        <x:v>51</x:v>
      </x:c>
      <x:c r="B16" s="15" t="n">
        <x:v>0.66</x:v>
      </x:c>
      <x:c r="D16" t="str">
        <x:v>DeepSeek V4 Flash OFF-PEAK output; cùng nguồn chính thức.</x:v>
      </x:c>
    </x:row>
    <x:row r="17">
      <x:c r="A17" s="6" t="s">
        <x:v>52</x:v>
      </x:c>
      <x:c r="B17" s="15" t="n">
        <x:v>0.22</x:v>
      </x:c>
      <x:c r="D17" s="3" t="str">
        <x:v>Cache write được tính bằng cache miss; hiện chưa đo cache thực tế.</x:v>
      </x:c>
    </x:row>
    <x:row r="18">
      <x:c r="A18" s="6" t="s">
        <x:v>53</x:v>
      </x:c>
      <x:c r="B18" s="15" t="n">
        <x:v>0.007</x:v>
      </x:c>
      <x:c r="D18" s="3" t="str">
        <x:v>DeepSeek V4 Flash OFF-PEAK cache-hit; cùng nguồn chính thức.</x:v>
      </x:c>
    </x:row>
    <x:row r="19">
      <x:c r="A19" s="6" t="s">
        <x:v>54</x:v>
      </x:c>
      <x:c r="B19" s="12">
        <x:v>1</x:v>
      </x:c>
      <x:c r="C19" s="3" t="s">
        <x:v>55</x:v>
      </x:c>
      <x:c r="D19" t="s">
        <x:v>56</x:v>
      </x:c>
    </x:row>
    <x:row r="20">
      <x:c r="A20" s="6" t="s">
        <x:v>57</x:v>
      </x:c>
      <x:c r="B20" s="12">
        <x:v>0</x:v>
      </x:c>
      <x:c r="C20" s="3" t="s">
        <x:v>58</x:v>
      </x:c>
      <x:c r="D20" s="3" t="s">
        <x:v>59</x:v>
      </x:c>
    </x:row>
    <x:row r="21">
      <x:c r="A21" s="6" t="s">
        <x:v>60</x:v>
      </x:c>
      <x:c r="B21" s="12">
        <x:v>22654</x:v>
      </x:c>
      <x:c r="C21" s="3" t="s">
        <x:v>58</x:v>
      </x:c>
      <x:c r="D21" s="3" t="s">
        <x:v>61</x:v>
      </x:c>
    </x:row>
    <x:row r="22">
      <x:c r="A22" s="6" t="s">
        <x:v>62</x:v>
      </x:c>
      <x:c r="B22" s="12">
        <x:v>1832</x:v>
      </x:c>
      <x:c r="C22" s="3" t="s">
        <x:v>58</x:v>
      </x:c>
      <x:c r="D22" t="s">
        <x:v>63</x:v>
      </x:c>
    </x:row>
    <x:row r="23">
      <x:c r="A23" s="6" t="s">
        <x:v>64</x:v>
      </x:c>
      <x:c r="B23" s="16" t="n">
        <x:f>B20*B17/1000000</x:f>
        <x:v>0</x:v>
      </x:c>
    </x:row>
    <x:row r="24">
      <x:c r="A24" s="6" t="s">
        <x:v>65</x:v>
      </x:c>
      <x:c r="B24" s="16" t="n">
        <x:f>(B19-1)*B20*B18/1000000</x:f>
        <x:v>0</x:v>
      </x:c>
    </x:row>
    <x:row r="25">
      <x:c r="A25" s="6" t="s">
        <x:v>66</x:v>
      </x:c>
      <x:c r="B25" s="16" t="n">
        <x:f>B19*B21*B15/1000000</x:f>
        <x:v>0.00498388</x:v>
      </x:c>
    </x:row>
    <x:row r="26">
      <x:c r="A26" s="6" t="s">
        <x:v>67</x:v>
      </x:c>
      <x:c r="B26" s="16" t="n">
        <x:f>B19*B22*B16/1000000</x:f>
        <x:v>0.0012091200000000002</x:v>
      </x:c>
    </x:row>
    <x:row r="27">
      <x:c r="A27" s="8" t="s">
        <x:v>68</x:v>
      </x:c>
      <x:c r="B27" s="17" t="n">
        <x:f>SUM(B23:B26)</x:f>
        <x:v>0.006193000000000001</x:v>
      </x:c>
    </x:row>
    <x:row r="28">
      <x:c r="A28" s="6" t="s">
        <x:v>69</x:v>
      </x:c>
      <x:c r="B28" s="16" t="n">
        <x:f>B19*(B20+B21)*B15/1000000+B26</x:f>
        <x:v>0.006193000000000001</x:v>
      </x:c>
    </x:row>
    <x:row r="29">
      <x:c r="A29" s="6" t="s">
        <x:v>70</x:v>
      </x:c>
      <x:c r="B29" s="18" t="n">
        <x:f>IF(B28=0,0,1-B27/B28)</x:f>
        <x:v>0</x:v>
      </x:c>
      <x:c r="D29" s="3" t="s">
        <x:v>71</x:v>
      </x:c>
    </x:row>
    <x:row r="30">
      <x:c r="A30" s="6" t="s">
        <x:v>72</x:v>
      </x:c>
      <x:c r="B30" s="12">
        <x:v>0</x:v>
      </x:c>
      <x:c r="D30" s="3" t="s">
        <x:v>73</x:v>
      </x:c>
    </x:row>
    <x:row r="31">
      <x:c r="A31" s="8" t="s">
        <x:v>74</x:v>
      </x:c>
      <x:c r="B31" s="17" t="n">
        <x:f>B27*(1-B30*0.5)</x:f>
        <x:v>0.006193000000000001</x:v>
      </x:c>
    </x:row>
    <x:row r="33">
      <x:c r="A33" s="9" t="s">
        <x:v>75</x:v>
      </x:c>
      <x:c r="B33" s="10"/>
      <x:c r="C33" s="10"/>
      <x:c r="D33" s="10"/>
      <x:c r="E33" s="10"/>
      <x:c r="F33" s="10"/>
      <x:c r="G33" s="10"/>
      <x:c r="H33" s="10"/>
    </x:row>
    <x:row r="34">
      <x:c r="A34" s="6" t="s">
        <x:v>76</x:v>
      </x:c>
      <x:c r="B34" s="19">
        <x:v>0</x:v>
      </x:c>
      <x:c r="D34" s="3" t="s">
        <x:v>77</x:v>
      </x:c>
    </x:row>
    <x:row r="35">
      <x:c r="A35" s="6" t="s">
        <x:v>78</x:v>
      </x:c>
      <x:c r="B35" s="20">
        <x:v>0</x:v>
      </x:c>
      <x:c r="C35" s="3" t="s">
        <x:v>79</x:v>
      </x:c>
    </x:row>
    <x:row r="36">
      <x:c r="A36" s="6" t="s">
        <x:v>80</x:v>
      </x:c>
      <x:c r="B36" s="15">
        <x:v>0</x:v>
      </x:c>
      <x:c r="D36" s="3" t="s">
        <x:v>81</x:v>
      </x:c>
    </x:row>
    <x:row r="37">
      <x:c r="A37" s="6" t="s">
        <x:v>82</x:v>
      </x:c>
      <x:c r="B37" s="12">
        <x:v>0</x:v>
      </x:c>
      <x:c r="C37" s="3" t="s">
        <x:v>83</x:v>
      </x:c>
      <x:c r="D37" s="3" t="s">
        <x:v>84</x:v>
      </x:c>
    </x:row>
    <x:row r="38">
      <x:c r="A38" s="6" t="s">
        <x:v>85</x:v>
      </x:c>
      <x:c r="B38" s="16" t="n">
        <x:f>B34*B35+B36*B37/1000000</x:f>
        <x:v>0</x:v>
      </x:c>
    </x:row>
    <x:row r="40">
      <x:c r="A40" s="9" t="s">
        <x:v>86</x:v>
      </x:c>
      <x:c r="B40" s="10"/>
      <x:c r="C40" s="10"/>
      <x:c r="D40" s="10"/>
      <x:c r="E40" s="10"/>
      <x:c r="F40" s="10"/>
      <x:c r="G40" s="10"/>
      <x:c r="H40" s="10"/>
    </x:row>
    <x:row r="41">
      <x:c r="A41" s="6" t="s">
        <x:v>87</x:v>
      </x:c>
      <x:c r="B41" s="19">
        <x:v>3.3999999999999998E-3</x:v>
      </x:c>
      <x:c r="D41" s="3" t="s">
        <x:v>88</x:v>
      </x:c>
    </x:row>
    <x:row r="42">
      <x:c r="A42" s="6" t="s">
        <x:v>89</x:v>
      </x:c>
      <x:c r="B42" s="19">
        <x:v>0</x:v>
      </x:c>
    </x:row>
    <x:row r="43">
      <x:c r="A43" s="6" t="s">
        <x:v>90</x:v>
      </x:c>
      <x:c r="B43" s="16" t="n">
        <x:f>B41+B42*B35</x:f>
        <x:v>0.0034</x:v>
      </x:c>
    </x:row>
    <x:row r="45">
      <x:c r="A45" s="9" t="s">
        <x:v>91</x:v>
      </x:c>
      <x:c r="B45" s="10"/>
      <x:c r="C45" s="10"/>
      <x:c r="D45" s="10"/>
      <x:c r="E45" s="10"/>
      <x:c r="F45" s="10"/>
      <x:c r="G45" s="10"/>
      <x:c r="H45" s="10"/>
    </x:row>
    <x:row r="46">
      <x:c r="A46" s="6" t="s">
        <x:v>92</x:v>
      </x:c>
      <x:c r="B46" s="13">
        <x:v>0.08</x:v>
      </x:c>
      <x:c r="D46" s="3" t="s">
        <x:v>93</x:v>
      </x:c>
    </x:row>
    <x:row r="47">
      <x:c r="A47" s="6" t="s">
        <x:v>94</x:v>
      </x:c>
      <x:c r="B47" s="16" t="n">
        <x:f>(B31+B38)*B46</x:f>
        <x:v>0.0004954400000000001</x:v>
      </x:c>
    </x:row>
    <x:row r="49">
      <x:c r="A49" s="9" t="s">
        <x:v>95</x:v>
      </x:c>
      <x:c r="B49" s="10"/>
      <x:c r="C49" s="10"/>
      <x:c r="D49" s="10"/>
      <x:c r="E49" s="10"/>
      <x:c r="F49" s="10"/>
      <x:c r="G49" s="10"/>
      <x:c r="H49" s="10"/>
    </x:row>
    <x:row r="50">
      <x:c r="A50" s="6" t="s">
        <x:v>96</x:v>
      </x:c>
      <x:c r="B50" s="15">
        <x:v>9</x:v>
      </x:c>
      <x:c r="D50" s="3" t="s">
        <x:v>97</x:v>
      </x:c>
    </x:row>
    <x:row r="51">
      <x:c r="A51" s="6" t="s">
        <x:v>98</x:v>
      </x:c>
      <x:c r="B51" s="13">
        <x:v>0.05</x:v>
      </x:c>
      <x:c r="D51" s="3" t="s">
        <x:v>99</x:v>
      </x:c>
    </x:row>
    <x:row r="52">
      <x:c r="A52" s="6" t="s">
        <x:v>100</x:v>
      </x:c>
      <x:c r="B52" s="20">
        <x:v>2</x:v>
      </x:c>
      <x:c r="C52" s="3" t="s">
        <x:v>79</x:v>
      </x:c>
    </x:row>
    <x:row r="53">
      <x:c r="A53" s="6" t="s">
        <x:v>101</x:v>
      </x:c>
      <x:c r="B53" s="20">
        <x:v>6</x:v>
      </x:c>
      <x:c r="C53" s="3" t="s">
        <x:v>79</x:v>
      </x:c>
    </x:row>
    <x:row r="54">
      <x:c r="A54" s="6" t="s">
        <x:v>102</x:v>
      </x:c>
      <x:c r="B54" s="21" t="n">
        <x:f>B9*B51*(B52/60)*B50</x:f>
        <x:v>15</x:v>
      </x:c>
    </x:row>
    <x:row r="55">
      <x:c r="A55" s="6" t="s">
        <x:v>103</x:v>
      </x:c>
      <x:c r="B55" s="21" t="n">
        <x:f>IF(B6="B",B12*(B53/60)*B50,0)</x:f>
        <x:v>0</x:v>
      </x:c>
      <x:c r="D55" s="3" t="s">
        <x:v>104</x:v>
      </x:c>
    </x:row>
    <x:row r="56">
      <x:c r="A56" s="8" t="s">
        <x:v>105</x:v>
      </x:c>
      <x:c r="B56" s="22" t="n">
        <x:f>B54+B55</x:f>
        <x:v>15</x:v>
      </x:c>
    </x:row>
    <x:row r="58">
      <x:c r="A58" s="9" t="s">
        <x:v>106</x:v>
      </x:c>
      <x:c r="B58" s="10"/>
      <x:c r="C58" s="10"/>
      <x:c r="D58" s="10"/>
      <x:c r="E58" s="10"/>
      <x:c r="F58" s="10"/>
      <x:c r="G58" s="10"/>
      <x:c r="H58" s="10"/>
    </x:row>
    <x:row r="59">
      <x:c r="A59" s="6" t="s">
        <x:v>107</x:v>
      </x:c>
      <x:c r="B59" s="15">
        <x:v>0</x:v>
      </x:c>
      <x:c r="D59" s="3" t="s">
        <x:v>108</x:v>
      </x:c>
    </x:row>
    <x:row r="61">
      <x:c r="A61" s="9" t="s">
        <x:v>109</x:v>
      </x:c>
      <x:c r="B61" s="10"/>
      <x:c r="C61" s="10"/>
      <x:c r="D61" s="10"/>
      <x:c r="E61" s="10"/>
      <x:c r="F61" s="10"/>
      <x:c r="G61" s="10"/>
      <x:c r="H61" s="10"/>
    </x:row>
    <x:row r="62">
      <x:c r="A62" s="6" t="s">
        <x:v>110</x:v>
      </x:c>
      <x:c r="B62" s="21" t="n">
        <x:f>B9*(B31+B38+B43+B47)</x:f>
        <x:v>10.08844</x:v>
      </x:c>
    </x:row>
    <x:row r="63">
      <x:c r="A63" s="6" t="s">
        <x:v>111</x:v>
      </x:c>
      <x:c r="B63" s="21" t="n">
        <x:f>B56</x:f>
        <x:v>15</x:v>
      </x:c>
    </x:row>
    <x:row r="64">
      <x:c r="A64" s="6" t="s">
        <x:v>112</x:v>
      </x:c>
      <x:c r="B64" s="21" t="n">
        <x:f>B59</x:f>
        <x:v>0</x:v>
      </x:c>
    </x:row>
    <x:row r="65">
      <x:c r="A65" s="6" t="s">
        <x:v>113</x:v>
      </x:c>
      <x:c r="B65" s="21" t="n">
        <x:f>B62+B63+B64</x:f>
        <x:v>25.08844</x:v>
      </x:c>
    </x:row>
    <x:row r="66">
      <x:c r="A66" s="8" t="s">
        <x:v>114</x:v>
      </x:c>
      <x:c r="B66" s="17" t="n">
        <x:f>IF(B11=0,0,(B62+B63)/B11)</x:f>
        <x:v>0.02727004347826087</x:v>
      </x:c>
      <x:c r="C66" s="3" t="s">
        <x:v>115</x:v>
      </x:c>
      <x:c r="D66" s="3" t="s">
        <x:v>116</x:v>
      </x:c>
    </x:row>
    <x:row r="67">
      <x:c r="A67" s="8" t="s">
        <x:v>117</x:v>
      </x:c>
      <x:c r="B67" s="17" t="n">
        <x:f>IF(B11=0,0,B65/B11)</x:f>
        <x:v>0.02727004347826087</x:v>
      </x:c>
      <x:c r="C67" s="3" t="s">
        <x:v>115</x:v>
      </x:c>
    </x:row>
    <x:row r="68">
      <x:c r="A68" s="6" t="s">
        <x:v>118</x:v>
      </x:c>
      <x:c r="B68" s="12">
        <x:v>26000</x:v>
      </x:c>
      <x:c r="C68" s="3" t="s">
        <x:v>119</x:v>
      </x:c>
      <x:c r="D68" s="3" t="s">
        <x:v>120</x:v>
      </x:c>
    </x:row>
    <x:row r="69">
      <x:c r="A69" s="6" t="s">
        <x:v>121</x:v>
      </x:c>
      <x:c r="B69" s="23" t="n">
        <x:f>B66*B68</x:f>
        <x:v>709.0211304347825</x:v>
      </x:c>
      <x:c r="C69" s="3" t="s">
        <x:v>122</x:v>
      </x:c>
    </x:row>
    <x:row r="71">
      <x:c r="A71" s="9" t="s">
        <x:v>123</x:v>
      </x:c>
      <x:c r="B71" s="10"/>
      <x:c r="C71" s="10"/>
      <x:c r="D71" s="10"/>
      <x:c r="E71" s="10"/>
      <x:c r="F71" s="10"/>
      <x:c r="G71" s="10"/>
      <x:c r="H71" s="10"/>
    </x:row>
    <x:row r="72">
      <x:c r="A72" s="6" t="s">
        <x:v>124</x:v>
      </x:c>
      <x:c r="B72" s="21" t="n">
        <x:f>B9*B31</x:f>
        <x:v>6.1930000000000005</x:v>
      </x:c>
      <x:c r="C72" s="18" t="n">
        <x:f t="shared" ref="C72:C77" si="0">IF($B$65=0,0,B72/$B$65)</x:f>
        <x:v>0.24684675491979577</x:v>
      </x:c>
    </x:row>
    <x:row r="73">
      <x:c r="A73" s="6" t="s">
        <x:v>125</x:v>
      </x:c>
      <x:c r="B73" s="21" t="n">
        <x:f>B9*B38</x:f>
        <x:v>0</x:v>
      </x:c>
      <x:c r="C73" s="18">
        <x:f t="shared" si="0"/>
        <x:v>0</x:v>
      </x:c>
    </x:row>
    <x:row r="74">
      <x:c r="A74" s="6" t="s">
        <x:v>126</x:v>
      </x:c>
      <x:c r="B74" s="21" t="n">
        <x:f>B9*B43</x:f>
        <x:v>3.4</x:v>
      </x:c>
      <x:c r="C74" s="18">
        <x:f t="shared" si="0"/>
        <x:v>0.15192623520140164</x:v>
      </x:c>
    </x:row>
    <x:row r="75">
      <x:c r="A75" s="6" t="s">
        <x:v>127</x:v>
      </x:c>
      <x:c r="B75" s="21" t="n">
        <x:f>B9*B47</x:f>
        <x:v>0.4954400000000001</x:v>
      </x:c>
      <x:c r="C75" s="18">
        <x:f t="shared" si="0"/>
        <x:v>1.3171182402923963E-2</x:v>
      </x:c>
    </x:row>
    <x:row r="76">
      <x:c r="A76" s="6" t="s">
        <x:v>128</x:v>
      </x:c>
      <x:c r="B76" s="21" t="n">
        <x:f>B56</x:f>
        <x:v>15</x:v>
      </x:c>
      <x:c r="C76" s="18">
        <x:f t="shared" si="0"/>
        <x:v>0.67026280235912494</x:v>
      </x:c>
    </x:row>
    <x:row r="77">
      <x:c r="A77" s="6" t="s">
        <x:v>129</x:v>
      </x:c>
      <x:c r="B77" s="21" t="n">
        <x:f>B59</x:f>
        <x:v>0</x:v>
      </x:c>
      <x:c r="C77" s="18">
        <x:f t="shared" si="0"/>
        <x:v>0</x:v>
      </x:c>
    </x:row>
    <x:row r="78">
      <x:c r="A78" s="3" t="s">
        <x:v>130</x:v>
      </x:c>
    </x:row>
  </x:sheetData>
  <x:dataValidations count="1">
    <x:dataValidation type="list" sqref="B6">
      <x:formula1>"A,B"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55f05be1ee5c4713"/>
</x:worksheet>
</file>

<file path=xl/worksheets/sheet3.xml><?xml version="1.0" encoding="utf-8"?>
<x:worksheet xmlns:x="http://schemas.openxmlformats.org/spreadsheetml/2006/main">
  <x:sheetFormatPr defaultColWidth="8.7109375" defaultRowHeight="15"/>
  <x:cols>
    <x:col min="1" max="1" width="46" customWidth="1"/>
    <x:col min="2" max="3" width="16" customWidth="1"/>
    <x:col min="4" max="4" width="54" customWidth="1"/>
    <x:col min="5" max="8" width="15" customWidth="1"/>
  </x:cols>
  <x:sheetData>
    <x:row r="1" ht="24" customHeight="1">
      <x:c r="A1" s="1" t="s">
        <x:v>131</x:v>
      </x:c>
      <x:c r="B1" s="2"/>
      <x:c r="C1" s="2"/>
      <x:c r="D1" s="2"/>
      <x:c r="E1" s="2"/>
      <x:c r="F1" s="2"/>
      <x:c r="G1" s="2"/>
      <x:c r="H1" s="2"/>
    </x:row>
    <x:row r="2">
      <x:c r="A2" s="3" t="s">
        <x:v>132</x:v>
      </x:c>
    </x:row>
    <x:row r="4">
      <x:c r="A4" s="9" t="s">
        <x:v>133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134</x:v>
      </x:c>
      <x:c r="B5" s="24" t="n">
        <x:f>'1_Cost_Job'!B66</x:f>
        <x:v>0.02727004347826087</x:v>
      </x:c>
      <x:c r="C5" s="3" t="s">
        <x:v>115</x:v>
      </x:c>
    </x:row>
    <x:row r="6">
      <x:c r="A6" s="6" t="s">
        <x:v>135</x:v>
      </x:c>
      <x:c r="B6" s="20">
        <x:v>3</x:v>
      </x:c>
      <x:c r="C6" s="3" t="s">
        <x:v>136</x:v>
      </x:c>
      <x:c r="D6" s="3" t="s">
        <x:v>137</x:v>
      </x:c>
    </x:row>
    <x:row r="7">
      <x:c r="A7" s="8" t="s">
        <x:v>138</x:v>
      </x:c>
      <x:c r="B7" s="17" t="n">
        <x:f>B5*B6</x:f>
        <x:v>0.08181013043478261</x:v>
      </x:c>
      <x:c r="C7" s="3" t="s">
        <x:v>115</x:v>
      </x:c>
    </x:row>
    <x:row r="9">
      <x:c r="A9" s="9" t="s">
        <x:v>139</x:v>
      </x:c>
      <x:c r="B9" s="10"/>
      <x:c r="C9" s="10"/>
      <x:c r="D9" s="10"/>
      <x:c r="E9" s="10"/>
      <x:c r="F9" s="10"/>
      <x:c r="G9" s="10"/>
      <x:c r="H9" s="10"/>
    </x:row>
    <x:row r="10">
      <x:c r="A10" s="6" t="s">
        <x:v>140</x:v>
      </x:c>
      <x:c r="B10" s="25">
        <x:v>38.46153846153846</x:v>
      </x:c>
      <x:c r="D10" s="3" t="s">
        <x:v>141</x:v>
      </x:c>
    </x:row>
    <x:row r="11">
      <x:c r="A11" s="6" t="s">
        <x:v>142</x:v>
      </x:c>
      <x:c r="B11" s="12">
        <x:v>60</x:v>
      </x:c>
      <x:c r="C11" s="3" t="s">
        <x:v>41</x:v>
      </x:c>
      <x:c r="D11" t="s">
        <x:v>143</x:v>
      </x:c>
    </x:row>
    <x:row r="12">
      <x:c r="A12" s="6" t="s">
        <x:v>144</x:v>
      </x:c>
      <x:c r="B12" s="16" t="n">
        <x:f>IF(B11=0,0,B10*0.1/B11)</x:f>
        <x:v>0.06410256410256411</x:v>
      </x:c>
      <x:c r="C12" s="3" t="s">
        <x:v>115</x:v>
      </x:c>
    </x:row>
    <x:row r="13">
      <x:c r="A13" s="6" t="s">
        <x:v>145</x:v>
      </x:c>
      <x:c r="B13" s="16" t="n">
        <x:f>IF(B11=0,0,B10*0.25/B11)</x:f>
        <x:v>0.16025641025641024</x:v>
      </x:c>
      <x:c r="C13" s="3" t="s">
        <x:v>115</x:v>
      </x:c>
    </x:row>
    <x:row r="14">
      <x:c r="A14" s="6" t="s">
        <x:v>146</x:v>
      </x:c>
      <x:c r="B14" s="25">
        <x:v>0</x:v>
      </x:c>
      <x:c r="D14" s="3" t="s">
        <x:v>147</x:v>
      </x:c>
    </x:row>
    <x:row r="15">
      <x:c r="A15" s="6" t="s">
        <x:v>148</x:v>
      </x:c>
      <x:c r="B15" s="16" t="n">
        <x:f>IF(B11=0,0,B14*0.5/B11)</x:f>
        <x:v>0</x:v>
      </x:c>
      <x:c r="C15" s="3" t="s">
        <x:v>115</x:v>
      </x:c>
    </x:row>
    <x:row r="16">
      <x:c r="A16" s="6" t="s">
        <x:v>149</x:v>
      </x:c>
      <x:c r="B16" s="16" t="n">
        <x:f>IF(B11=0,0,B14*0.7/B11)</x:f>
        <x:v>0</x:v>
      </x:c>
      <x:c r="C16" s="3" t="s">
        <x:v>115</x:v>
      </x:c>
    </x:row>
    <x:row r="18">
      <x:c r="A18" s="9" t="s">
        <x:v>150</x:v>
      </x:c>
      <x:c r="B18" s="10"/>
      <x:c r="C18" s="10"/>
      <x:c r="D18" s="10"/>
      <x:c r="E18" s="10"/>
      <x:c r="F18" s="10"/>
      <x:c r="G18" s="10"/>
      <x:c r="H18" s="10"/>
    </x:row>
    <x:row r="19">
      <x:c r="A19" s="6" t="s">
        <x:v>151</x:v>
      </x:c>
      <x:c r="B19" s="19">
        <x:v>9.551282051282052E-2</x:v>
      </x:c>
      <x:c r="C19" s="3" t="s">
        <x:v>115</x:v>
      </x:c>
      <x:c r="D19" s="3" t="s">
        <x:v>152</x:v>
      </x:c>
    </x:row>
    <x:row r="20">
      <x:c r="A20" s="6" t="s">
        <x:v>153</x:v>
      </x:c>
      <x:c r="B20" s="26" t="n">
        <x:f>IF(B5=0,0,B19/B5)</x:f>
        <x:v>3.502481416612387</x:v>
      </x:c>
    </x:row>
    <x:row r="21">
      <x:c r="A21" s="8" t="s">
        <x:v>154</x:v>
      </x:c>
      <x:c r="B21" s="27" t="n">
        <x:f>IF(B19=0,0,(B19-B5)/B19)</x:f>
        <x:v>0.7144881353953896</x:v>
      </x:c>
    </x:row>
    <x:row r="22">
      <x:c r="A22" s="6" t="s">
        <x:v>155</x:v>
      </x:c>
      <x:c r="B22" s="7" t="str">
        <x:f>IF(B20&gt;=B6,"OK — ĐẠT","KHÔNG ĐẠT — quay lại tab 1")</x:f>
        <x:v>OK — ĐẠT</x:v>
      </x:c>
    </x:row>
    <x:row r="23">
      <x:c r="A23" s="6" t="s">
        <x:v>156</x:v>
      </x:c>
      <x:c r="B23" s="7" t="str">
        <x:f>IF(B21&gt;=0.6,"OK — AN TOÀN (≥60%)",IF(B21&gt;=0.5,"CẢNH BÁO (50–60%)","NGUY HIỂM (&lt;50%)"))</x:f>
        <x:v>OK — AN TOÀN (≥60%)</x:v>
      </x:c>
    </x:row>
    <x:row r="24">
      <x:c r="A24" s="6" t="s">
        <x:v>157</x:v>
      </x:c>
      <x:c r="B24" s="7" t="str">
        <x:f>IF(B21&gt;0.85,"NGHI NGỜ — nhiều khả năng bạn quên một khoản chi phí","OK")</x:f>
        <x:v>OK</x:v>
      </x:c>
    </x:row>
    <x:row r="25">
      <x:c r="A25" s="6" t="s">
        <x:v>158</x:v>
      </x:c>
      <x:c r="B25" s="7" t="str">
        <x:f>IF(AND(B19&gt;=B7,B19&lt;=MAX(B13,B16)),"OK — trong vùng giá bán","XEM LẠI — ngoài vùng giá sàn/trần")</x:f>
        <x:v>OK — trong vùng giá bán</x:v>
      </x:c>
    </x:row>
    <x:row r="27">
      <x:c r="A27" s="9" t="s">
        <x:v>159</x:v>
      </x:c>
      <x:c r="B27" s="10"/>
      <x:c r="C27" s="10"/>
      <x:c r="D27" s="10"/>
      <x:c r="E27" s="10"/>
      <x:c r="F27" s="10"/>
      <x:c r="G27" s="10"/>
      <x:c r="H27" s="10"/>
    </x:row>
    <x:row r="28">
      <x:c r="A28" s="3" t="s">
        <x:v>160</x:v>
      </x:c>
    </x:row>
    <x:row r="29">
      <x:c r="A29" s="6" t="s">
        <x:v>161</x:v>
      </x:c>
      <x:c r="B29" s="24" t="n">
        <x:f>'1_Cost_Job'!B31+'1_Cost_Job'!B38+'1_Cost_Job'!B43+'1_Cost_Job'!B47</x:f>
        <x:v>0.01008844</x:v>
      </x:c>
    </x:row>
    <x:row r="30">
      <x:c r="A30" s="6" t="s">
        <x:v>162</x:v>
      </x:c>
      <x:c r="B30" s="24" t="n">
        <x:f>'1_Cost_Job'!B51*('1_Cost_Job'!B52/60)*'1_Cost_Job'!B50</x:f>
        <x:v>0.015000000000000001</x:v>
      </x:c>
    </x:row>
    <x:row r="31">
      <x:c r="A31" s="6" t="s">
        <x:v>163</x:v>
      </x:c>
      <x:c r="B31" s="24" t="n">
        <x:f>IF('1_Cost_Job'!B6="B",('1_Cost_Job'!B53/60)*'1_Cost_Job'!B50,0)</x:f>
        <x:v>0</x:v>
      </x:c>
    </x:row>
    <x:row r="32">
      <x:c r="A32" s="6" t="s">
        <x:v>164</x:v>
      </x:c>
      <x:c r="B32" s="13">
        <x:v>0.6</x:v>
      </x:c>
      <x:c r="D32" t="s">
        <x:v>165</x:v>
      </x:c>
    </x:row>
    <x:row r="33">
      <x:c r="A33" s="8" t="s">
        <x:v>166</x:v>
      </x:c>
      <x:c r="B33" s="27" t="n">
        <x:f>IF((B19*(1-B32)+B31)=0,0,(B29+B30+B31)/(B19*(1-B32)+B31))</x:f>
        <x:v>0.656677288590604</x:v>
      </x:c>
      <x:c r="D33" s="3" t="s">
        <x:v>167</x:v>
      </x:c>
    </x:row>
    <x:row r="34">
      <x:c r="A34" s="6" t="s">
        <x:v>168</x:v>
      </x:c>
      <x:c r="B34" s="28" t="n">
        <x:f>'1_Cost_Job'!B10</x:f>
        <x:v>0.92</x:v>
      </x:c>
    </x:row>
    <x:row r="35">
      <x:c r="A35" s="6" t="s">
        <x:v>169</x:v>
      </x:c>
      <x:c r="B35" s="7" t="str">
        <x:v>ĐẠT — containment hiện tại 92,0% cao hơn ngưỡng 65,7%</x:v>
      </x:c>
    </x:row>
    <x:row r="37">
      <x:c r="A37" s="9" t="s">
        <x:v>170</x:v>
      </x:c>
      <x:c r="B37" s="10"/>
      <x:c r="C37" s="10"/>
      <x:c r="D37" s="10"/>
      <x:c r="E37" s="10"/>
      <x:c r="F37" s="10"/>
      <x:c r="G37" s="10"/>
      <x:c r="H37" s="10"/>
    </x:row>
    <x:row r="38">
      <x:c r="A38" s="29" t="s">
        <x:v>171</x:v>
      </x:c>
      <x:c r="B38" s="29" t="s">
        <x:v>172</x:v>
      </x:c>
      <x:c r="C38" s="29" t="s">
        <x:v>173</x:v>
      </x:c>
      <x:c r="D38" s="29" t="s">
        <x:v>174</x:v>
      </x:c>
    </x:row>
    <x:row r="39">
      <x:c r="A39" s="30">
        <x:v>0.5</x:v>
      </x:c>
      <x:c r="B39" s="16" t="n">
        <x:f t="shared" ref="B39:B44" si="0">($B$29+$B$30+$B$31*(1-A39))/A39</x:f>
        <x:v>0.05017688000000001</x:v>
      </x:c>
      <x:c r="C39" s="18" t="n">
        <x:f t="shared" ref="C39:C44" si="1">IF($B$19=0,0,1-B39/$B$19)</x:f>
        <x:v>0.4746581691275168</x:v>
      </x:c>
      <x:c r="D39" s="7" t="str">
        <x:f t="shared" ref="D39:D44" si="2">IF(C39&gt;=0.6,"An toàn",IF(C39&gt;=0.5,"Cảnh báo","Nguy hiểm"))</x:f>
        <x:v>Nguy hiểm</x:v>
      </x:c>
    </x:row>
    <x:row r="40">
      <x:c r="A40" s="30">
        <x:v>0.6</x:v>
      </x:c>
      <x:c r="B40" s="16">
        <x:f t="shared" si="0"/>
        <x:v>3.7298802666666672E-2</x:v>
      </x:c>
      <x:c r="C40" s="18">
        <x:f t="shared" si="1"/>
        <x:v>0.60948904590604025</x:v>
      </x:c>
      <x:c r="D40" s="7" t="str">
        <x:f t="shared" si="2"/>
        <x:v>An toàn</x:v>
      </x:c>
    </x:row>
    <x:row r="41">
      <x:c r="A41" s="30">
        <x:v>0.7</x:v>
      </x:c>
      <x:c r="B41" s="16">
        <x:f t="shared" si="0"/>
        <x:v>3.1970402285714287E-2</x:v>
      </x:c>
      <x:c r="C41" s="18">
        <x:f t="shared" si="1"/>
        <x:v>0.66527632506232026</x:v>
      </x:c>
      <x:c r="D41" s="7" t="str">
        <x:f t="shared" si="2"/>
        <x:v>An toàn</x:v>
      </x:c>
    </x:row>
    <x:row r="42">
      <x:c r="A42" s="30">
        <x:v>0.8</x:v>
      </x:c>
      <x:c r="B42" s="16">
        <x:f t="shared" si="0"/>
        <x:v>2.7974102000000001E-2</x:v>
      </x:c>
      <x:c r="C42" s="18">
        <x:f t="shared" si="1"/>
        <x:v>0.7071167844295303</x:v>
      </x:c>
      <x:c r="D42" s="7" t="str">
        <x:f t="shared" si="2"/>
        <x:v>An toàn</x:v>
      </x:c>
    </x:row>
    <x:row r="43">
      <x:c r="A43" s="30">
        <x:v>0.9</x:v>
      </x:c>
      <x:c r="B43" s="16">
        <x:f t="shared" si="0"/>
        <x:v>2.4865868444444446E-2</x:v>
      </x:c>
      <x:c r="C43" s="18">
        <x:f t="shared" si="1"/>
        <x:v>0.7396593639373602</x:v>
      </x:c>
      <x:c r="D43" s="7" t="str">
        <x:f t="shared" si="2"/>
        <x:v>An toàn</x:v>
      </x:c>
    </x:row>
    <x:row r="44">
      <x:c r="A44" s="30">
        <x:v>0.95</x:v>
      </x:c>
      <x:c r="B44" s="16">
        <x:f t="shared" si="0"/>
        <x:v>2.3557138526315791E-2</x:v>
      </x:c>
      <x:c r="C44" s="18">
        <x:f t="shared" si="1"/>
        <x:v>0.75336150267749913</x:v>
      </x:c>
      <x:c r="D44" s="7" t="str">
        <x:f t="shared" si="2"/>
        <x:v>An toàn</x:v>
      </x:c>
    </x:row>
    <x:row r="46">
      <x:c r="A46" s="3" t="str">
        <x:v>Bảng sensitivity: so containment với Gross Margin trước khi đổi giá hoặc allowance.</x:v>
      </x:c>
    </x:row>
    <x:row r="48">
      <x:c r="A48" s="9" t="s">
        <x:v>175</x:v>
      </x:c>
      <x:c r="B48" s="10"/>
      <x:c r="C48" s="10"/>
      <x:c r="D48" s="10"/>
      <x:c r="E48" s="10"/>
      <x:c r="F48" s="10"/>
      <x:c r="G48" s="10"/>
      <x:c r="H48" s="10"/>
    </x:row>
    <x:row r="49">
      <x:c r="A49" s="8" t="s">
        <x:v>172</x:v>
      </x:c>
      <x:c r="B49" s="17" t="n">
        <x:f>B5</x:f>
        <x:v>0.02727004347826087</x:v>
      </x:c>
    </x:row>
    <x:row r="50">
      <x:c r="A50" s="8" t="s">
        <x:v>176</x:v>
      </x:c>
      <x:c r="B50" s="17" t="n">
        <x:f>B7</x:f>
        <x:v>0.08181013043478261</x:v>
      </x:c>
    </x:row>
    <x:row r="51">
      <x:c r="A51" s="8" t="s">
        <x:v>177</x:v>
      </x:c>
      <x:c r="B51" s="17" t="n">
        <x:f>B19</x:f>
        <x:v>0.09551282051282052</x:v>
      </x:c>
    </x:row>
    <x:row r="52">
      <x:c r="A52" s="8" t="s">
        <x:v>173</x:v>
      </x:c>
      <x:c r="B52" s="27" t="n">
        <x:f>B21</x:f>
        <x:v>0.7144881353953896</x:v>
      </x:c>
    </x:row>
    <x:row r="53">
      <x:c r="A53" s="8" t="s">
        <x:v>178</x:v>
      </x:c>
      <x:c r="B53" s="27" t="n">
        <x:f>B33</x:f>
        <x:v>0.656677288590604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109375" defaultRowHeight="15"/>
  <x:cols>
    <x:col min="1" max="1" width="72" customWidth="1"/>
    <x:col min="2" max="2" width="12" customWidth="1"/>
    <x:col min="3" max="3" width="50" customWidth="1"/>
    <x:col min="4" max="4" width="46" customWidth="1"/>
    <x:col min="5" max="8" width="15" customWidth="1"/>
  </x:cols>
  <x:sheetData>
    <x:row r="1" ht="24" customHeight="1">
      <x:c r="A1" s="1" t="s">
        <x:v>179</x:v>
      </x:c>
      <x:c r="B1" s="2"/>
      <x:c r="C1" s="2"/>
      <x:c r="D1" s="2"/>
      <x:c r="E1" s="2"/>
      <x:c r="F1" s="2"/>
      <x:c r="G1" s="2"/>
      <x:c r="H1" s="2"/>
    </x:row>
    <x:row r="2">
      <x:c r="A2" s="3" t="s">
        <x:v>180</x:v>
      </x:c>
    </x:row>
    <x:row r="4">
      <x:c r="A4" s="9" t="s">
        <x:v>181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182</x:v>
      </x:c>
      <x:c r="B5" s="11">
        <x:v>2</x:v>
      </x:c>
    </x:row>
    <x:row r="6">
      <x:c r="A6" s="6" t="s">
        <x:v>183</x:v>
      </x:c>
      <x:c r="B6" s="11">
        <x:v>2</x:v>
      </x:c>
    </x:row>
    <x:row r="7">
      <x:c r="A7" s="6" t="s">
        <x:v>184</x:v>
      </x:c>
      <x:c r="B7" s="11">
        <x:v>0</x:v>
      </x:c>
    </x:row>
    <x:row r="8">
      <x:c r="A8" s="6" t="s">
        <x:v>185</x:v>
      </x:c>
      <x:c r="B8" s="11">
        <x:v>1</x:v>
      </x:c>
    </x:row>
    <x:row r="9">
      <x:c r="A9" s="6" t="s">
        <x:v>186</x:v>
      </x:c>
      <x:c r="B9" s="11">
        <x:v>1</x:v>
      </x:c>
    </x:row>
    <x:row r="10">
      <x:c r="A10" s="8" t="s">
        <x:v>187</x:v>
      </x:c>
      <x:c r="B10" s="31" t="n">
        <x:f>SUM(B5:B9)</x:f>
        <x:v>6</x:v>
      </x:c>
    </x:row>
    <x:row r="12">
      <x:c r="A12" s="9" t="s">
        <x:v>188</x:v>
      </x:c>
      <x:c r="B12" s="10"/>
      <x:c r="C12" s="10"/>
      <x:c r="D12" s="10"/>
      <x:c r="E12" s="10"/>
      <x:c r="F12" s="10"/>
      <x:c r="G12" s="10"/>
      <x:c r="H12" s="10"/>
    </x:row>
    <x:row r="13">
      <x:c r="A13" s="6" t="s">
        <x:v>189</x:v>
      </x:c>
      <x:c r="B13" s="11">
        <x:v>1</x:v>
      </x:c>
    </x:row>
    <x:row r="14">
      <x:c r="A14" s="6" t="s">
        <x:v>190</x:v>
      </x:c>
      <x:c r="B14" s="11">
        <x:v>2</x:v>
      </x:c>
    </x:row>
    <x:row r="15">
      <x:c r="A15" s="6" t="s">
        <x:v>191</x:v>
      </x:c>
      <x:c r="B15" s="11">
        <x:v>1</x:v>
      </x:c>
    </x:row>
    <x:row r="16">
      <x:c r="A16" s="6" t="s">
        <x:v>192</x:v>
      </x:c>
      <x:c r="B16" s="11">
        <x:v>2</x:v>
      </x:c>
    </x:row>
    <x:row r="17">
      <x:c r="A17" s="6" t="s">
        <x:v>193</x:v>
      </x:c>
      <x:c r="B17" s="11">
        <x:v>1</x:v>
      </x:c>
    </x:row>
    <x:row r="18">
      <x:c r="A18" s="8" t="s">
        <x:v>194</x:v>
      </x:c>
      <x:c r="B18" s="31" t="n">
        <x:f>SUM(B13:B17)</x:f>
        <x:v>7</x:v>
      </x:c>
    </x:row>
    <x:row r="20">
      <x:c r="A20" s="9" t="s">
        <x:v>195</x:v>
      </x:c>
      <x:c r="B20" s="10"/>
      <x:c r="C20" s="10"/>
      <x:c r="D20" s="10"/>
      <x:c r="E20" s="10"/>
      <x:c r="F20" s="10"/>
      <x:c r="G20" s="10"/>
      <x:c r="H20" s="10"/>
    </x:row>
    <x:row r="21">
      <x:c r="A21" s="8" t="s">
        <x:v>196</x:v>
      </x:c>
      <x:c r="B21" s="32" t="str">
        <x:f>IF(AND(B10&gt;=7,B18&gt;=7),"OUTCOME",IF(AND(B10&gt;=7,B18&lt;7),"USAGE",IF(AND(B10&lt;7,B18&gt;=7),"USAGE (an toàn)","SEAT hoặc HYBRID")))</x:f>
        <x:v>USAGE (an toàn)</x:v>
      </x:c>
    </x:row>
    <x:row r="22">
      <x:c r="A22" s="3" t="s">
        <x:v>197</x:v>
      </x:c>
    </x:row>
    <x:row r="24">
      <x:c r="A24" s="9" t="s">
        <x:v>198</x:v>
      </x:c>
      <x:c r="B24" s="10"/>
      <x:c r="C24" s="10"/>
      <x:c r="D24" s="10"/>
      <x:c r="E24" s="10"/>
      <x:c r="F24" s="10"/>
      <x:c r="G24" s="10"/>
      <x:c r="H24" s="10"/>
    </x:row>
    <x:row r="25">
      <x:c r="A25" s="29" t="s">
        <x:v>199</x:v>
      </x:c>
      <x:c r="B25" s="29" t="s">
        <x:v>200</x:v>
      </x:c>
      <x:c r="C25" s="29" t="s">
        <x:v>201</x:v>
      </x:c>
      <x:c r="D25" s="29" t="s">
        <x:v>202</x:v>
      </x:c>
    </x:row>
    <x:row r="26">
      <x:c r="A26" s="5" t="s">
        <x:v>203</x:v>
      </x:c>
      <x:c r="B26" s="5" t="s">
        <x:v>204</x:v>
      </x:c>
      <x:c r="C26" s="5" t="str">
        <x:v>$10/tháng; gồm 1.500 AI Credits, overage $0,01/AI Credit</x:v>
      </x:c>
      <x:c r="D26" s="5" t="s">
        <x:v>205</x:v>
      </x:c>
    </x:row>
    <x:row r="27">
      <x:c r="A27" s="5" t="s">
        <x:v>206</x:v>
      </x:c>
      <x:c r="B27" s="5" t="s">
        <x:v>207</x:v>
      </x:c>
      <x:c r="C27" s="5" t="s">
        <x:v>208</x:v>
      </x:c>
      <x:c r="D27" s="5" t="s">
        <x:v>209</x:v>
      </x:c>
    </x:row>
    <x:row r="29">
      <x:c r="A29" s="9" t="s">
        <x:v>210</x:v>
      </x:c>
      <x:c r="B29" s="10"/>
      <x:c r="C29" s="10"/>
      <x:c r="D29" s="10"/>
      <x:c r="E29" s="10"/>
      <x:c r="F29" s="10"/>
      <x:c r="G29" s="10"/>
      <x:c r="H29" s="10"/>
    </x:row>
    <x:row r="30">
      <x:c r="A30" s="6" t="s">
        <x:v>211</x:v>
      </x:c>
      <x:c r="B30" s="5" t="s">
        <x:v>212</x:v>
      </x:c>
    </x:row>
    <x:row r="31">
      <x:c r="A31" s="6" t="s">
        <x:v>213</x:v>
      </x:c>
      <x:c r="B31" s="5" t="s">
        <x:v>214</x:v>
      </x:c>
    </x:row>
    <x:row r="32">
      <x:c r="A32" s="6" t="s">
        <x:v>215</x:v>
      </x:c>
      <x:c r="B32" s="5" t="s">
        <x:v>216</x:v>
      </x:c>
    </x:row>
    <x:row r="33">
      <x:c r="A33" s="6" t="s">
        <x:v>217</x:v>
      </x:c>
      <x:c r="B33" s="5" t="s">
        <x:v>218</x:v>
      </x:c>
    </x:row>
    <x:row r="34">
      <x:c r="A34" s="6" t="s">
        <x:v>219</x:v>
      </x:c>
      <x:c r="B34" s="5" t="str">
        <x:v>Mô hình lỗ khi heavy users vượt 60 job mà không thu overage, hoặc containment xuống dưới 46,9% làm Gross Margin &lt;50%.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109375" defaultRowHeight="15"/>
  <x:cols>
    <x:col min="1" max="1" width="46" customWidth="1"/>
    <x:col min="2" max="3" width="16" customWidth="1"/>
    <x:col min="4" max="4" width="54" customWidth="1"/>
    <x:col min="5" max="8" width="15" customWidth="1"/>
  </x:cols>
  <x:sheetData>
    <x:row r="1" ht="24" customHeight="1">
      <x:c r="A1" s="1" t="s">
        <x:v>220</x:v>
      </x:c>
      <x:c r="B1" s="2"/>
      <x:c r="C1" s="2"/>
      <x:c r="D1" s="2"/>
      <x:c r="E1" s="2"/>
      <x:c r="F1" s="2"/>
      <x:c r="G1" s="2"/>
      <x:c r="H1" s="2"/>
    </x:row>
    <x:row r="2">
      <x:c r="A2" s="3" t="s">
        <x:v>221</x:v>
      </x:c>
    </x:row>
    <x:row r="4">
      <x:c r="A4" s="9" t="s">
        <x:v>222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223</x:v>
      </x:c>
      <x:c r="B5" s="25">
        <x:v>5.7307692307692308</x:v>
      </x:c>
      <x:c r="D5" t="s">
        <x:v>224</x:v>
      </x:c>
    </x:row>
    <x:row r="6">
      <x:c r="A6" s="6" t="s">
        <x:v>225</x:v>
      </x:c>
      <x:c r="B6" s="28" t="n">
        <x:f>'2_Pricing'!B21</x:f>
        <x:v>0.7144881353953896</x:v>
      </x:c>
    </x:row>
    <x:row r="7">
      <x:c r="A7" s="6" t="s">
        <x:v>226</x:v>
      </x:c>
      <x:c r="B7" s="11" t="s">
        <x:v>227</x:v>
      </x:c>
      <x:c r="D7" t="s">
        <x:v>228</x:v>
      </x:c>
    </x:row>
    <x:row r="8">
      <x:c r="A8" s="6" t="s">
        <x:v>229</x:v>
      </x:c>
      <x:c r="B8" s="14" t="n">
        <x:f>IF(B7="SMB",12,IF(B7="Mid",18,24))</x:f>
        <x:v>12</x:v>
      </x:c>
      <x:c r="C8" s="3" t="s">
        <x:v>230</x:v>
      </x:c>
      <x:c r="D8" s="3" t="s">
        <x:v>231</x:v>
      </x:c>
    </x:row>
    <x:row r="9">
      <x:c r="A9" s="8" t="s">
        <x:v>232</x:v>
      </x:c>
      <x:c r="B9" s="33" t="n">
        <x:f>B5*B6*B8</x:f>
        <x:v>49.134799464882946</x:v>
      </x:c>
      <x:c r="D9" s="3" t="s">
        <x:v>233</x:v>
      </x:c>
    </x:row>
    <x:row r="10">
      <x:c r="A10" s="6" t="s">
        <x:v>234</x:v>
      </x:c>
      <x:c r="B10" s="34" t="n">
        <x:f>B5*12</x:f>
        <x:v>68.76923076923077</x:v>
      </x:c>
    </x:row>
    <x:row r="12">
      <x:c r="A12" s="9" t="s">
        <x:v>235</x:v>
      </x:c>
      <x:c r="B12" s="10"/>
      <x:c r="C12" s="10"/>
      <x:c r="D12" s="10"/>
      <x:c r="E12" s="10"/>
      <x:c r="F12" s="10"/>
      <x:c r="G12" s="10"/>
      <x:c r="H12" s="10"/>
    </x:row>
    <x:row r="13">
      <x:c r="A13" s="6" t="s">
        <x:v>236</x:v>
      </x:c>
      <x:c r="B13" s="25">
        <x:v>500000</x:v>
      </x:c>
      <x:c r="D13" s="3" t="s">
        <x:v>237</x:v>
      </x:c>
    </x:row>
    <x:row r="14">
      <x:c r="A14" s="6" t="s">
        <x:v>238</x:v>
      </x:c>
      <x:c r="B14" s="12">
        <x:v>250</x:v>
      </x:c>
      <x:c r="C14" s="3" t="s">
        <x:v>239</x:v>
      </x:c>
    </x:row>
    <x:row r="15">
      <x:c r="A15" s="6" t="s">
        <x:v>240</x:v>
      </x:c>
      <x:c r="B15" s="14" t="n">
        <x:f>IF(B10=0,0,B13/B10)</x:f>
        <x:v>7270.69351230425</x:v>
      </x:c>
    </x:row>
    <x:row r="16">
      <x:c r="A16" s="8" t="s">
        <x:v>241</x:v>
      </x:c>
      <x:c r="B16" s="35" t="n">
        <x:f>IF(B14=0,0,B15/B14)</x:f>
        <x:v>29.082774049217</x:v>
      </x:c>
      <x:c r="C16" s="3" t="s">
        <x:v>242</x:v>
      </x:c>
    </x:row>
    <x:row r="17">
      <x:c r="A17" s="6" t="s">
        <x:v>243</x:v>
      </x:c>
      <x:c r="B17" s="7" t="str">
        <x:f>IF(B16&lt;=1,"KHẢ THI về mặt số học","BẤT KHẢ THI — ACV quá thấp để nuôi sales rep")</x:f>
        <x:v>BẤT KHẢ THI — ACV quá thấp để nuôi sales rep</x:v>
      </x:c>
    </x:row>
    <x:row r="19">
      <x:c r="A19" s="9" t="s">
        <x:v>244</x:v>
      </x:c>
      <x:c r="B19" s="10"/>
      <x:c r="C19" s="10"/>
      <x:c r="D19" s="10"/>
      <x:c r="E19" s="10"/>
      <x:c r="F19" s="10"/>
      <x:c r="G19" s="10"/>
      <x:c r="H19" s="10"/>
    </x:row>
    <x:row r="20">
      <x:c r="A20" s="6" t="s">
        <x:v>245</x:v>
      </x:c>
      <x:c r="B20" s="25">
        <x:v>3.3653846153846154</x:v>
      </x:c>
      <x:c r="D20" s="3" t="s">
        <x:v>246</x:v>
      </x:c>
    </x:row>
    <x:row r="21">
      <x:c r="A21" s="6" t="s">
        <x:v>247</x:v>
      </x:c>
      <x:c r="B21" s="13">
        <x:v>0.25</x:v>
      </x:c>
    </x:row>
    <x:row r="22">
      <x:c r="A22" s="6" t="str">
        <x:v>→ CAC kế hoạch ước tính / khách</x:v>
      </x:c>
      <x:c r="B22" s="34" t="n">
        <x:f>IF(B21=0,0,B20/B21)</x:f>
        <x:v>13.461538461538462</x:v>
      </x:c>
    </x:row>
    <x:row r="23">
      <x:c r="A23" s="8" t="s">
        <x:v>248</x:v>
      </x:c>
      <x:c r="B23" s="36" t="n">
        <x:f>IF(B9=0,0,B22/B9)</x:f>
        <x:v>0.27397157631953983</x:v>
      </x:c>
      <x:c r="D23" s="3" t="s">
        <x:v>249</x:v>
      </x:c>
    </x:row>
    <x:row r="24">
      <x:c r="A24" s="6" t="s">
        <x:v>169</x:v>
      </x:c>
      <x:c r="B24" s="7" t="str">
        <x:f>IF(B23&lt;=1,"Motion có sales KHẢ THI",IF(B23&lt;=3,"Căng — cần tăng giá hoặc giảm chi phí bán hàng","KHÔNG KHẢ THI — đi PLG hoặc Partner-Led"))</x:f>
        <x:v>Motion có sales KHẢ THI</x:v>
      </x:c>
    </x:row>
    <x:row r="26">
      <x:c r="A26" s="9" t="s">
        <x:v>250</x:v>
      </x:c>
      <x:c r="B26" s="10"/>
      <x:c r="C26" s="10"/>
      <x:c r="D26" s="10"/>
      <x:c r="E26" s="10"/>
      <x:c r="F26" s="10"/>
      <x:c r="G26" s="10"/>
      <x:c r="H26" s="10"/>
    </x:row>
    <x:row r="27">
      <x:c r="A27" s="29" t="s">
        <x:v>251</x:v>
      </x:c>
      <x:c r="B27" s="29" t="s">
        <x:v>252</x:v>
      </x:c>
      <x:c r="C27" s="29" t="s">
        <x:v>253</x:v>
      </x:c>
      <x:c r="D27" s="29" t="s">
        <x:v>254</x:v>
      </x:c>
    </x:row>
    <x:row r="28">
      <x:c r="A28" s="6" t="s">
        <x:v>255</x:v>
      </x:c>
      <x:c r="B28" s="11">
        <x:v>5</x:v>
      </x:c>
      <x:c r="C28" s="11">
        <x:v>1</x:v>
      </x:c>
      <x:c r="D28" s="11">
        <x:v>3</x:v>
      </x:c>
    </x:row>
    <x:row r="29">
      <x:c r="A29" s="6" t="s">
        <x:v>256</x:v>
      </x:c>
      <x:c r="B29" s="11">
        <x:v>5</x:v>
      </x:c>
      <x:c r="C29" s="11">
        <x:v>1</x:v>
      </x:c>
      <x:c r="D29" s="11">
        <x:v>3</x:v>
      </x:c>
    </x:row>
    <x:row r="30">
      <x:c r="A30" s="6" t="s">
        <x:v>257</x:v>
      </x:c>
      <x:c r="B30" s="11">
        <x:v>4</x:v>
      </x:c>
      <x:c r="C30" s="11">
        <x:v>1</x:v>
      </x:c>
      <x:c r="D30" s="11">
        <x:v>2</x:v>
      </x:c>
    </x:row>
    <x:row r="31">
      <x:c r="A31" s="6" t="s">
        <x:v>258</x:v>
      </x:c>
      <x:c r="B31" s="11">
        <x:v>5</x:v>
      </x:c>
      <x:c r="C31" s="11">
        <x:v>2</x:v>
      </x:c>
      <x:c r="D31" s="11">
        <x:v>2</x:v>
      </x:c>
    </x:row>
    <x:row r="32">
      <x:c r="A32" s="6" t="s">
        <x:v>259</x:v>
      </x:c>
      <x:c r="B32" s="11">
        <x:v>5</x:v>
      </x:c>
      <x:c r="C32" s="11">
        <x:v>2</x:v>
      </x:c>
      <x:c r="D32" s="11">
        <x:v>4</x:v>
      </x:c>
    </x:row>
    <x:row r="33">
      <x:c r="A33" s="6" t="s">
        <x:v>260</x:v>
      </x:c>
      <x:c r="B33" s="11">
        <x:v>5</x:v>
      </x:c>
      <x:c r="C33" s="11">
        <x:v>1</x:v>
      </x:c>
      <x:c r="D33" s="11">
        <x:v>3</x:v>
      </x:c>
    </x:row>
    <x:row r="34">
      <x:c r="A34" s="8" t="s">
        <x:v>261</x:v>
      </x:c>
      <x:c r="B34" s="32" t="n">
        <x:f>SUM(B28:B33)</x:f>
        <x:v>29</x:v>
      </x:c>
      <x:c r="C34" s="32" t="n">
        <x:f>SUM(C28:C33)</x:f>
        <x:v>8</x:v>
      </x:c>
      <x:c r="D34" s="32" t="n">
        <x:f>SUM(D28:D33)</x:f>
        <x:v>17</x:v>
      </x:c>
    </x:row>
    <x:row r="35">
      <x:c r="A35" s="8" t="s">
        <x:v>262</x:v>
      </x:c>
      <x:c r="B35" s="32" t="str">
        <x:f>IF(AND(B34&gt;=C34,B34&gt;=D34),"PLG",IF(C34&gt;=D34,"Sales-Led","Partner-Led"))</x:f>
        <x:v>PLG</x:v>
      </x:c>
    </x:row>
    <x:row r="37">
      <x:c r="A37" s="9" t="s">
        <x:v>263</x:v>
      </x:c>
      <x:c r="B37" s="10"/>
      <x:c r="C37" s="10"/>
      <x:c r="D37" s="10"/>
      <x:c r="E37" s="10"/>
      <x:c r="F37" s="10"/>
      <x:c r="G37" s="10"/>
      <x:c r="H37" s="10"/>
    </x:row>
    <x:row r="38">
      <x:c r="A38" s="6" t="s">
        <x:v>264</x:v>
      </x:c>
      <x:c r="B38" s="5" t="s">
        <x:v>252</x:v>
      </x:c>
      <x:c r="D38" s="3" t="s">
        <x:v>265</x:v>
      </x:c>
    </x:row>
    <x:row r="39">
      <x:c r="A39" s="6" t="s">
        <x:v>266</x:v>
      </x:c>
      <x:c r="B39" s="5" t="s">
        <x:v>267</x:v>
      </x:c>
      <x:c r="D39" s="3" t="s">
        <x:v>268</x:v>
      </x:c>
    </x:row>
    <x:row r="40">
      <x:c r="A40" s="6" t="s">
        <x:v>269</x:v>
      </x:c>
      <x:c r="B40" s="5" t="s">
        <x:v>270</x:v>
      </x:c>
    </x:row>
    <x:row r="41">
      <x:c r="A41" s="6" t="s">
        <x:v>271</x:v>
      </x:c>
      <x:c r="B41" s="5" t="s">
        <x:v>272</x:v>
      </x:c>
    </x:row>
    <x:row r="42">
      <x:c r="A42" s="6" t="s">
        <x:v>273</x:v>
      </x:c>
      <x:c r="B42" s="5" t="s">
        <x:v>274</x:v>
      </x:c>
      <x:c r="D42" s="3" t="s">
        <x:v>275</x:v>
      </x:c>
    </x:row>
  </x:sheetData>
  <x:dataValidations count="1">
    <x:dataValidation type="list" sqref="B7">
      <x:formula1>"SMB,Mid,Enterprise"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7109375" defaultRowHeight="15"/>
  <x:cols>
    <x:col min="1" max="1" width="30" customWidth="1"/>
    <x:col min="2" max="4" width="34" customWidth="1"/>
    <x:col min="5" max="8" width="15" customWidth="1"/>
  </x:cols>
  <x:sheetData>
    <x:row r="1" ht="24" customHeight="1">
      <x:c r="A1" s="1" t="s">
        <x:v>276</x:v>
      </x:c>
      <x:c r="B1" s="2"/>
      <x:c r="C1" s="2"/>
      <x:c r="D1" s="2"/>
      <x:c r="E1" s="2"/>
      <x:c r="F1" s="2"/>
      <x:c r="G1" s="2"/>
      <x:c r="H1" s="2"/>
    </x:row>
    <x:row r="2">
      <x:c r="A2" s="3" t="s">
        <x:v>277</x:v>
      </x:c>
    </x:row>
    <x:row r="4">
      <x:c r="A4" s="9" t="s">
        <x:v>278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279</x:v>
      </x:c>
      <x:c r="B5" s="5" t="s">
        <x:v>280</x:v>
      </x:c>
    </x:row>
    <x:row r="6">
      <x:c r="A6" s="6" t="s">
        <x:v>281</x:v>
      </x:c>
      <x:c r="B6" s="5" t="s">
        <x:v>282</x:v>
      </x:c>
    </x:row>
    <x:row r="7">
      <x:c r="A7" s="6" t="s">
        <x:v>283</x:v>
      </x:c>
      <x:c r="B7" s="5" t="s">
        <x:v>284</x:v>
      </x:c>
    </x:row>
    <x:row r="8">
      <x:c r="A8" s="6" t="s">
        <x:v>285</x:v>
      </x:c>
      <x:c r="B8" s="5" t="s">
        <x:v>286</x:v>
      </x:c>
      <x:c r="D8" s="3" t="s">
        <x:v>287</x:v>
      </x:c>
    </x:row>
    <x:row r="10">
      <x:c r="A10" s="9" t="s">
        <x:v>288</x:v>
      </x:c>
      <x:c r="B10" s="10"/>
      <x:c r="C10" s="10"/>
      <x:c r="D10" s="10"/>
      <x:c r="E10" s="10"/>
      <x:c r="F10" s="10"/>
      <x:c r="G10" s="10"/>
      <x:c r="H10" s="10"/>
    </x:row>
    <x:row r="11">
      <x:c r="A11" s="29"/>
      <x:c r="B11" s="29" t="s">
        <x:v>289</x:v>
      </x:c>
      <x:c r="C11" s="29" t="s">
        <x:v>290</x:v>
      </x:c>
      <x:c r="D11" s="29" t="s">
        <x:v>291</x:v>
      </x:c>
    </x:row>
    <x:row r="12" ht="30" customHeight="1">
      <x:c r="A12" s="6" t="s">
        <x:v>292</x:v>
      </x:c>
      <x:c r="B12" s="37" t="s">
        <x:v>293</x:v>
      </x:c>
      <x:c r="C12" s="37" t="s">
        <x:v>294</x:v>
      </x:c>
      <x:c r="D12" s="37" t="s">
        <x:v>295</x:v>
      </x:c>
    </x:row>
    <x:row r="13" ht="30" customHeight="1">
      <x:c r="A13" s="6" t="s">
        <x:v>296</x:v>
      </x:c>
      <x:c r="B13" s="37" t="s">
        <x:v>297</x:v>
      </x:c>
      <x:c r="C13" s="37" t="s">
        <x:v>298</x:v>
      </x:c>
      <x:c r="D13" s="37" t="s">
        <x:v>299</x:v>
      </x:c>
    </x:row>
    <x:row r="14" ht="30" customHeight="1">
      <x:c r="A14" s="6" t="s">
        <x:v>300</x:v>
      </x:c>
      <x:c r="B14" s="37" t="s">
        <x:v>301</x:v>
      </x:c>
      <x:c r="C14" s="37" t="s">
        <x:v>302</x:v>
      </x:c>
      <x:c r="D14" s="37" t="s">
        <x:v>303</x:v>
      </x:c>
    </x:row>
    <x:row r="15" ht="30" customHeight="1">
      <x:c r="A15" s="6" t="s">
        <x:v>304</x:v>
      </x:c>
      <x:c r="B15" s="37" t="s">
        <x:v>305</x:v>
      </x:c>
      <x:c r="C15" s="37" t="s">
        <x:v>306</x:v>
      </x:c>
      <x:c r="D15" s="37" t="s">
        <x:v>307</x:v>
      </x:c>
    </x:row>
    <x:row r="16" ht="30" customHeight="1">
      <x:c r="A16" s="6" t="s">
        <x:v>308</x:v>
      </x:c>
      <x:c r="B16" s="37" t="s">
        <x:v>309</x:v>
      </x:c>
      <x:c r="C16" s="37" t="s">
        <x:v>310</x:v>
      </x:c>
      <x:c r="D16" s="37" t="s">
        <x:v>311</x:v>
      </x:c>
    </x:row>
    <x:row r="17" ht="30" customHeight="1">
      <x:c r="A17" s="6" t="s">
        <x:v>312</x:v>
      </x:c>
      <x:c r="B17" s="37" t="s">
        <x:v>313</x:v>
      </x:c>
      <x:c r="C17" s="37" t="s">
        <x:v>314</x:v>
      </x:c>
      <x:c r="D17" s="37" t="s">
        <x:v>315</x:v>
      </x:c>
    </x:row>
    <x:row r="18" ht="30" customHeight="1">
      <x:c r="A18" s="6" t="s">
        <x:v>316</x:v>
      </x:c>
      <x:c r="B18" s="37" t="s">
        <x:v>317</x:v>
      </x:c>
      <x:c r="C18" s="37" t="s">
        <x:v>318</x:v>
      </x:c>
      <x:c r="D18" s="37" t="s">
        <x:v>319</x:v>
      </x:c>
    </x:row>
    <x:row r="19">
      <x:c r="A19" s="3" t="s">
        <x:v>320</x:v>
      </x:c>
    </x:row>
    <x:row r="21">
      <x:c r="A21" s="9" t="s">
        <x:v>321</x:v>
      </x:c>
      <x:c r="B21" s="10"/>
      <x:c r="C21" s="10"/>
      <x:c r="D21" s="10"/>
      <x:c r="E21" s="10"/>
      <x:c r="F21" s="10"/>
      <x:c r="G21" s="10"/>
      <x:c r="H21" s="10"/>
    </x:row>
    <x:row r="22">
      <x:c r="A22" s="29" t="s">
        <x:v>322</x:v>
      </x:c>
      <x:c r="B22" s="29" t="s">
        <x:v>323</x:v>
      </x:c>
      <x:c r="C22" s="29" t="s">
        <x:v>324</x:v>
      </x:c>
      <x:c r="D22" s="29" t="s">
        <x:v>325</x:v>
      </x:c>
    </x:row>
    <x:row r="23" ht="33.75" customHeight="1">
      <x:c r="A23" s="6" t="s">
        <x:v>326</x:v>
      </x:c>
      <x:c r="B23" s="37" t="str">
        <x:v>☑ Rồi — nhưng HOLD</x:v>
      </x:c>
      <x:c r="C23" s="37" t="s">
        <x:v>327</x:v>
      </x:c>
      <x:c r="D23" s="37" t="s">
        <x:v>328</x:v>
      </x:c>
    </x:row>
    <x:row r="24" ht="33.75" customHeight="1">
      <x:c r="A24" s="6" t="s">
        <x:v>329</x:v>
      </x:c>
      <x:c r="B24" s="37" t="str">
        <x:v>☑ Rồi — Day 24</x:v>
      </x:c>
      <x:c r="C24" s="37" t="str">
        <x:v>Đã hoàn tất checklist VLearn gồm 3 điểm: hallucination/escalation; chính sách dữ liệu học viên dùng để train; export/xóa dữ liệu khi dịch vụ dừng.</x:v>
      </x:c>
      <x:c r="D24" s="37" t="str">
        <x:v>Trần Kiên · hoàn tất 26/08/2026</x:v>
      </x:c>
    </x:row>
    <x:row r="25" ht="33.75" customHeight="1">
      <x:c r="A25" s="6" t="s">
        <x:v>330</x:v>
      </x:c>
      <x:c r="B25" s="37" t="str">
        <x:v>☐ Chưa</x:v>
      </x:c>
      <x:c r="C25" s="37" t="s">
        <x:v>331</x:v>
      </x:c>
      <x:c r="D25" s="37" t="str">
        <x:v>Trần Kiên · deadline kế hoạch 30/09/2026</x:v>
      </x:c>
    </x:row>
    <x:row r="26">
      <x:c r="A26" s="3" t="s">
        <x:v>332</x:v>
      </x:c>
    </x:row>
    <x:row r="28">
      <x:c r="A28" s="9" t="s">
        <x:v>333</x:v>
      </x:c>
      <x:c r="B28" s="10"/>
      <x:c r="C28" s="10"/>
      <x:c r="D28" s="10"/>
      <x:c r="E28" s="10"/>
      <x:c r="F28" s="10"/>
      <x:c r="G28" s="10"/>
      <x:c r="H28" s="10"/>
    </x:row>
    <x:row r="29">
      <x:c r="A29" s="6" t="s">
        <x:v>334</x:v>
      </x:c>
      <x:c r="B29" s="5" t="str">
        <x:v>☐ CHƯA TEST</x:v>
      </x:c>
    </x:row>
    <x:row r="30">
      <x:c r="A30" s="6" t="s">
        <x:v>335</x:v>
      </x:c>
      <x:c r="B30" s="5" t="str">
        <x:v>☐ CHƯA TEST</x:v>
      </x:c>
    </x:row>
    <x:row r="31">
      <x:c r="A31" s="6" t="s">
        <x:v>336</x:v>
      </x:c>
      <x:c r="B31" s="5" t="str">
        <x:v>☐ CHƯA TEST</x:v>
      </x:c>
    </x:row>
    <x:row r="32">
      <x:c r="A32" s="6" t="s">
        <x:v>337</x:v>
      </x:c>
      <x:c r="B32" s="5" t="str">
        <x:v>Chưa đo; mục tiêu ≤3 câu hỏi lại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7109375" defaultRowHeight="15"/>
  <x:cols>
    <x:col min="1" max="1" width="26" customWidth="1"/>
    <x:col min="2" max="2" width="30" customWidth="1"/>
    <x:col min="3" max="3" width="20" customWidth="1"/>
    <x:col min="4" max="4" width="16" customWidth="1"/>
    <x:col min="5" max="5" width="56" customWidth="1"/>
    <x:col min="6" max="8" width="15" customWidth="1"/>
  </x:cols>
  <x:sheetData>
    <x:row r="1" ht="24" customHeight="1">
      <x:c r="A1" s="1" t="s">
        <x:v>338</x:v>
      </x:c>
      <x:c r="B1" s="2"/>
      <x:c r="C1" s="2"/>
      <x:c r="D1" s="2"/>
      <x:c r="E1" s="2"/>
      <x:c r="F1" s="2"/>
      <x:c r="G1" s="2"/>
      <x:c r="H1" s="2"/>
    </x:row>
    <x:row r="2">
      <x:c r="A2" s="3" t="s">
        <x:v>339</x:v>
      </x:c>
    </x:row>
    <x:row r="3">
      <x:c r="A3" s="6" t="s">
        <x:v>340</x:v>
      </x:c>
      <x:c r="B3" s="5" t="str">
        <x:v>2026-08-28</x:v>
      </x:c>
      <x:c r="D3" s="3" t="s">
        <x:v>341</x:v>
      </x:c>
    </x:row>
    <x:row r="5">
      <x:c r="A5" s="38" t="s">
        <x:v>342</x:v>
      </x:c>
      <x:c r="B5" s="38" t="s">
        <x:v>343</x:v>
      </x:c>
      <x:c r="C5" s="38" t="s">
        <x:v>344</x:v>
      </x:c>
      <x:c r="D5" s="38" t="s">
        <x:v>345</x:v>
      </x:c>
      <x:c r="E5" s="38" t="s">
        <x:v>346</x:v>
      </x:c>
    </x:row>
    <x:row r="6">
      <x:c r="A6" s="39" t="s">
        <x:v>124</x:v>
      </x:c>
      <x:c r="B6" s="39" t="s">
        <x:v>347</x:v>
      </x:c>
      <x:c r="C6" s="39" t="s">
        <x:v>348</x:v>
      </x:c>
      <x:c r="D6" s="39" t="s">
        <x:v>349</x:v>
      </x:c>
      <x:c r="E6" s="40" t="s">
        <x:v>350</x:v>
      </x:c>
    </x:row>
    <x:row r="7">
      <x:c r="A7" s="39" t="s">
        <x:v>124</x:v>
      </x:c>
      <x:c r="B7" s="39" t="s">
        <x:v>351</x:v>
      </x:c>
      <x:c r="C7" s="39" t="s">
        <x:v>352</x:v>
      </x:c>
      <x:c r="D7" s="39" t="s">
        <x:v>349</x:v>
      </x:c>
      <x:c r="E7" s="40" t="s">
        <x:v>350</x:v>
      </x:c>
    </x:row>
    <x:row r="8">
      <x:c r="A8" s="39" t="s">
        <x:v>124</x:v>
      </x:c>
      <x:c r="B8" s="39" t="s">
        <x:v>353</x:v>
      </x:c>
      <x:c r="C8" s="39" t="s">
        <x:v>354</x:v>
      </x:c>
      <x:c r="D8" s="39" t="s">
        <x:v>349</x:v>
      </x:c>
      <x:c r="E8" s="40" t="s">
        <x:v>350</x:v>
      </x:c>
    </x:row>
    <x:row r="9">
      <x:c r="A9" s="39" t="s">
        <x:v>124</x:v>
      </x:c>
      <x:c r="B9" s="39" t="s">
        <x:v>355</x:v>
      </x:c>
      <x:c r="C9" s="39" t="s">
        <x:v>356</x:v>
      </x:c>
      <x:c r="D9" s="39" t="s">
        <x:v>357</x:v>
      </x:c>
      <x:c r="E9" s="40" t="s">
        <x:v>350</x:v>
      </x:c>
    </x:row>
    <x:row r="10" ht="24">
      <x:c r="A10" s="39" t="s">
        <x:v>124</x:v>
      </x:c>
      <x:c r="B10" s="39" t="s">
        <x:v>358</x:v>
      </x:c>
      <x:c r="C10" s="39" t="s">
        <x:v>359</x:v>
      </x:c>
      <x:c r="D10" s="39" t="s">
        <x:v>349</x:v>
      </x:c>
      <x:c r="E10" s="40" t="s">
        <x:v>360</x:v>
      </x:c>
    </x:row>
    <x:row r="11">
      <x:c r="A11" s="39" t="s">
        <x:v>124</x:v>
      </x:c>
      <x:c r="B11" s="39" t="s">
        <x:v>361</x:v>
      </x:c>
      <x:c r="C11" s="39" t="s">
        <x:v>362</x:v>
      </x:c>
      <x:c r="D11" s="39" t="s">
        <x:v>349</x:v>
      </x:c>
      <x:c r="E11" s="40" t="s">
        <x:v>363</x:v>
      </x:c>
    </x:row>
    <x:row r="12">
      <x:c r="A12" s="39" t="s">
        <x:v>124</x:v>
      </x:c>
      <x:c r="B12" s="39" t="s">
        <x:v>364</x:v>
      </x:c>
      <x:c r="C12" s="39" t="s">
        <x:v>365</x:v>
      </x:c>
      <x:c r="D12" s="39" t="s">
        <x:v>357</x:v>
      </x:c>
      <x:c r="E12" s="40" t="s">
        <x:v>363</x:v>
      </x:c>
    </x:row>
    <x:row r="13">
      <x:c r="A13" s="39" t="s">
        <x:v>124</x:v>
      </x:c>
      <x:c r="B13" s="39" t="s">
        <x:v>366</x:v>
      </x:c>
      <x:c r="C13" s="39" t="s">
        <x:v>367</x:v>
      </x:c>
      <x:c r="D13" s="39" t="s">
        <x:v>349</x:v>
      </x:c>
      <x:c r="E13" s="40" t="s">
        <x:v>368</x:v>
      </x:c>
    </x:row>
    <x:row r="14" ht="24">
      <x:c r="A14" s="39" t="s">
        <x:v>124</x:v>
      </x:c>
      <x:c r="B14" s="39" t="s">
        <x:v>369</x:v>
      </x:c>
      <x:c r="C14" s="39" t="s">
        <x:v>370</x:v>
      </x:c>
      <x:c r="D14" s="39" t="s">
        <x:v>349</x:v>
      </x:c>
      <x:c r="E14" s="40" t="s">
        <x:v>371</x:v>
      </x:c>
    </x:row>
    <x:row r="15">
      <x:c r="A15" s="39" t="s">
        <x:v>372</x:v>
      </x:c>
      <x:c r="B15" s="39" t="s">
        <x:v>373</x:v>
      </x:c>
      <x:c r="C15" s="39" t="s">
        <x:v>374</x:v>
      </x:c>
      <x:c r="D15" s="39" t="s">
        <x:v>375</x:v>
      </x:c>
      <x:c r="E15" s="40" t="s">
        <x:v>376</x:v>
      </x:c>
    </x:row>
    <x:row r="16">
      <x:c r="A16" s="39" t="s">
        <x:v>372</x:v>
      </x:c>
      <x:c r="B16" s="39" t="s">
        <x:v>377</x:v>
      </x:c>
      <x:c r="C16" s="39" t="s">
        <x:v>378</x:v>
      </x:c>
      <x:c r="D16" s="39" t="s">
        <x:v>375</x:v>
      </x:c>
      <x:c r="E16" s="40" t="s">
        <x:v>379</x:v>
      </x:c>
    </x:row>
    <x:row r="17">
      <x:c r="A17" s="39" t="s">
        <x:v>372</x:v>
      </x:c>
      <x:c r="B17" s="39" t="s">
        <x:v>380</x:v>
      </x:c>
      <x:c r="C17" s="39" t="s">
        <x:v>381</x:v>
      </x:c>
      <x:c r="D17" s="39" t="s">
        <x:v>375</x:v>
      </x:c>
      <x:c r="E17" s="40" t="s">
        <x:v>382</x:v>
      </x:c>
    </x:row>
    <x:row r="18">
      <x:c r="A18" s="39" t="s">
        <x:v>372</x:v>
      </x:c>
      <x:c r="B18" s="39" t="s">
        <x:v>383</x:v>
      </x:c>
      <x:c r="C18" s="39" t="s">
        <x:v>384</x:v>
      </x:c>
      <x:c r="D18" s="39" t="s">
        <x:v>375</x:v>
      </x:c>
      <x:c r="E18" s="40" t="s">
        <x:v>363</x:v>
      </x:c>
    </x:row>
    <x:row r="19">
      <x:c r="A19" s="39" t="s">
        <x:v>385</x:v>
      </x:c>
      <x:c r="B19" s="39" t="s">
        <x:v>386</x:v>
      </x:c>
      <x:c r="C19" s="39" t="s">
        <x:v>387</x:v>
      </x:c>
      <x:c r="D19" s="39" t="s">
        <x:v>388</x:v>
      </x:c>
      <x:c r="E19" s="40" t="s">
        <x:v>389</x:v>
      </x:c>
    </x:row>
    <x:row r="20">
      <x:c r="A20" s="39" t="s">
        <x:v>385</x:v>
      </x:c>
      <x:c r="B20" s="39" t="s">
        <x:v>390</x:v>
      </x:c>
      <x:c r="C20" s="39" t="s">
        <x:v>391</x:v>
      </x:c>
      <x:c r="D20" s="39" t="s">
        <x:v>388</x:v>
      </x:c>
      <x:c r="E20" s="40" t="s">
        <x:v>363</x:v>
      </x:c>
    </x:row>
    <x:row r="21">
      <x:c r="A21" s="39" t="s">
        <x:v>385</x:v>
      </x:c>
      <x:c r="B21" s="39" t="s">
        <x:v>392</x:v>
      </x:c>
      <x:c r="C21" s="39" t="s">
        <x:v>393</x:v>
      </x:c>
      <x:c r="D21" s="39" t="s">
        <x:v>388</x:v>
      </x:c>
      <x:c r="E21" s="40" t="s">
        <x:v>394</x:v>
      </x:c>
    </x:row>
    <x:row r="22">
      <x:c r="A22" s="39" t="s">
        <x:v>385</x:v>
      </x:c>
      <x:c r="B22" s="39" t="s">
        <x:v>395</x:v>
      </x:c>
      <x:c r="C22" s="39" t="s">
        <x:v>396</x:v>
      </x:c>
      <x:c r="D22" s="39" t="s">
        <x:v>388</x:v>
      </x:c>
      <x:c r="E22" s="40" t="s">
        <x:v>394</x:v>
      </x:c>
    </x:row>
    <x:row r="23">
      <x:c r="A23" s="39" t="s">
        <x:v>397</x:v>
      </x:c>
      <x:c r="B23" s="39" t="s">
        <x:v>398</x:v>
      </x:c>
      <x:c r="C23" s="39" t="s">
        <x:v>399</x:v>
      </x:c>
      <x:c r="D23" s="39" t="s">
        <x:v>400</x:v>
      </x:c>
      <x:c r="E23" s="40" t="s">
        <x:v>401</x:v>
      </x:c>
    </x:row>
    <x:row r="24">
      <x:c r="A24" s="39" t="s">
        <x:v>402</x:v>
      </x:c>
      <x:c r="B24" s="39" t="s">
        <x:v>403</x:v>
      </x:c>
      <x:c r="C24" s="39" t="s">
        <x:v>404</x:v>
      </x:c>
      <x:c r="D24" s="39" t="s">
        <x:v>405</x:v>
      </x:c>
      <x:c r="E24" s="40" t="s">
        <x:v>406</x:v>
      </x:c>
    </x:row>
    <x:row r="25">
      <x:c r="A25" s="39" t="s">
        <x:v>402</x:v>
      </x:c>
      <x:c r="B25" s="39" t="s">
        <x:v>407</x:v>
      </x:c>
      <x:c r="C25" s="39" t="s">
        <x:v>408</x:v>
      </x:c>
      <x:c r="D25" s="39" t="s">
        <x:v>405</x:v>
      </x:c>
      <x:c r="E25" s="40" t="s">
        <x:v>409</x:v>
      </x:c>
    </x:row>
    <x:row r="26" ht="24">
      <x:c r="A26" s="39" t="s">
        <x:v>402</x:v>
      </x:c>
      <x:c r="B26" s="39" t="s">
        <x:v>410</x:v>
      </x:c>
      <x:c r="C26" s="39" t="s">
        <x:v>411</x:v>
      </x:c>
      <x:c r="D26" s="39" t="s">
        <x:v>357</x:v>
      </x:c>
      <x:c r="E26" s="40" t="s">
        <x:v>412</x:v>
      </x:c>
    </x:row>
    <x:row r="27">
      <x:c r="A27" s="39" t="s">
        <x:v>413</x:v>
      </x:c>
      <x:c r="B27" s="39" t="s">
        <x:v>414</x:v>
      </x:c>
      <x:c r="C27" s="39" t="s">
        <x:v>415</x:v>
      </x:c>
      <x:c r="D27" s="39" t="s">
        <x:v>416</x:v>
      </x:c>
      <x:c r="E27" s="40" t="s">
        <x:v>417</x:v>
      </x:c>
    </x:row>
    <x:row r="28">
      <x:c r="A28" s="39" t="s">
        <x:v>413</x:v>
      </x:c>
      <x:c r="B28" s="39" t="s">
        <x:v>418</x:v>
      </x:c>
      <x:c r="C28" s="39" t="s">
        <x:v>419</x:v>
      </x:c>
      <x:c r="D28" s="39" t="s">
        <x:v>416</x:v>
      </x:c>
      <x:c r="E28" s="40" t="s">
        <x:v>417</x:v>
      </x:c>
    </x:row>
    <x:row r="29" ht="24">
      <x:c r="A29" s="39" t="s">
        <x:v>413</x:v>
      </x:c>
      <x:c r="B29" s="39" t="s">
        <x:v>420</x:v>
      </x:c>
      <x:c r="C29" s="39" t="s">
        <x:v>421</x:v>
      </x:c>
      <x:c r="D29" s="39" t="s">
        <x:v>422</x:v>
      </x:c>
      <x:c r="E29" s="40" t="s">
        <x:v>423</x:v>
      </x:c>
    </x:row>
    <x:row r="30">
      <x:c r="A30" s="39" t="s">
        <x:v>413</x:v>
      </x:c>
      <x:c r="B30" s="39" t="s">
        <x:v>424</x:v>
      </x:c>
      <x:c r="C30" s="39" t="s">
        <x:v>425</x:v>
      </x:c>
      <x:c r="D30" s="39" t="s">
        <x:v>426</x:v>
      </x:c>
      <x:c r="E30" s="40" t="s">
        <x:v>427</x:v>
      </x:c>
    </x:row>
    <x:row r="31">
      <x:c r="A31" s="39" t="s">
        <x:v>413</x:v>
      </x:c>
      <x:c r="B31" s="39" t="s">
        <x:v>428</x:v>
      </x:c>
      <x:c r="C31" s="39" t="s">
        <x:v>429</x:v>
      </x:c>
      <x:c r="D31" s="39" t="s">
        <x:v>430</x:v>
      </x:c>
      <x:c r="E31" s="40" t="s">
        <x:v>427</x:v>
      </x:c>
    </x:row>
    <x:row r="32">
      <x:c r="A32" s="39" t="s">
        <x:v>413</x:v>
      </x:c>
      <x:c r="B32" s="39" t="s">
        <x:v>431</x:v>
      </x:c>
      <x:c r="C32" s="39" t="s">
        <x:v>432</x:v>
      </x:c>
      <x:c r="D32" s="39" t="s">
        <x:v>426</x:v>
      </x:c>
      <x:c r="E32" s="40" t="s">
        <x:v>433</x:v>
      </x:c>
    </x:row>
    <x:row r="33">
      <x:c r="A33" s="39" t="s">
        <x:v>413</x:v>
      </x:c>
      <x:c r="B33" s="39" t="s">
        <x:v>434</x:v>
      </x:c>
      <x:c r="C33" s="39" t="s">
        <x:v>435</x:v>
      </x:c>
      <x:c r="D33" s="39" t="s">
        <x:v>436</x:v>
      </x:c>
      <x:c r="E33" s="40" t="s">
        <x:v>433</x:v>
      </x:c>
    </x:row>
    <x:row r="34">
      <x:c r="A34" s="39" t="s">
        <x:v>413</x:v>
      </x:c>
      <x:c r="B34" s="39" t="s">
        <x:v>437</x:v>
      </x:c>
      <x:c r="C34" s="39" t="s">
        <x:v>438</x:v>
      </x:c>
      <x:c r="D34" s="39" t="s">
        <x:v>439</x:v>
      </x:c>
      <x:c r="E34" s="40" t="s">
        <x:v>440</x:v>
      </x:c>
    </x:row>
    <x:row r="35">
      <x:c r="A35" s="39" t="s">
        <x:v>441</x:v>
      </x:c>
      <x:c r="B35" s="39" t="s">
        <x:v>442</x:v>
      </x:c>
      <x:c r="C35" s="39" t="s">
        <x:v>443</x:v>
      </x:c>
      <x:c r="D35" s="39" t="s">
        <x:v>444</x:v>
      </x:c>
      <x:c r="E35" s="40" t="s">
        <x:v>445</x:v>
      </x:c>
    </x:row>
    <x:row r="36">
      <x:c r="A36" s="39" t="s">
        <x:v>441</x:v>
      </x:c>
      <x:c r="B36" s="39" t="s">
        <x:v>446</x:v>
      </x:c>
      <x:c r="C36" s="39" t="s">
        <x:v>447</x:v>
      </x:c>
      <x:c r="D36" s="39" t="s">
        <x:v>444</x:v>
      </x:c>
      <x:c r="E36" s="40" t="s">
        <x:v>448</x:v>
      </x:c>
    </x:row>
    <x:row r="37">
      <x:c r="A37" s="39" t="s">
        <x:v>441</x:v>
      </x:c>
      <x:c r="B37" s="39" t="s">
        <x:v>449</x:v>
      </x:c>
      <x:c r="C37" s="39" t="s">
        <x:v>450</x:v>
      </x:c>
      <x:c r="D37" s="39" t="s">
        <x:v>444</x:v>
      </x:c>
      <x:c r="E37" s="40" t="s">
        <x:v>451</x:v>
      </x:c>
    </x:row>
    <x:row r="38">
      <x:c r="A38" s="39" t="s">
        <x:v>441</x:v>
      </x:c>
      <x:c r="B38" s="39" t="s">
        <x:v>452</x:v>
      </x:c>
      <x:c r="C38" s="39" t="s">
        <x:v>453</x:v>
      </x:c>
      <x:c r="D38" s="39" t="s">
        <x:v>230</x:v>
      </x:c>
      <x:c r="E38" s="40" t="s">
        <x:v>448</x:v>
      </x:c>
    </x:row>
    <x:row r="39">
      <x:c r="A39" s="39" t="s">
        <x:v>441</x:v>
      </x:c>
      <x:c r="B39" s="39" t="s">
        <x:v>454</x:v>
      </x:c>
      <x:c r="C39" s="39" t="s">
        <x:v>455</x:v>
      </x:c>
      <x:c r="D39" s="39" t="s">
        <x:v>456</x:v>
      </x:c>
      <x:c r="E39" s="40" t="s">
        <x:v>457</x:v>
      </x:c>
    </x:row>
    <x:row r="40">
      <x:c r="A40" s="39" t="s">
        <x:v>441</x:v>
      </x:c>
      <x:c r="B40" s="39" t="s">
        <x:v>458</x:v>
      </x:c>
      <x:c r="C40" s="39" t="s">
        <x:v>459</x:v>
      </x:c>
      <x:c r="D40" s="39" t="s">
        <x:v>460</x:v>
      </x:c>
      <x:c r="E40" s="40" t="s">
        <x:v>461</x:v>
      </x:c>
    </x:row>
    <x:row r="41">
      <x:c r="A41" s="39" t="s">
        <x:v>441</x:v>
      </x:c>
      <x:c r="B41" s="39" t="s">
        <x:v>462</x:v>
      </x:c>
      <x:c r="C41" s="39" t="s">
        <x:v>463</x:v>
      </x:c>
      <x:c r="D41" s="39" t="s">
        <x:v>464</x:v>
      </x:c>
      <x:c r="E41" s="40" t="s">
        <x:v>465</x:v>
      </x:c>
    </x:row>
    <x:row r="42" ht="30">
      <x:c r="A42" s="42" t="s">
        <x:v>124</x:v>
      </x:c>
      <x:c r="B42" s="42" t="s">
        <x:v>466</x:v>
      </x:c>
      <x:c r="C42" s="42" t="str">
        <x:v>OFF-PEAK 0.22 / 0.007 / 0.66; PEAK 0.44 / 0.014 / 1.32</x:v>
      </x:c>
      <x:c r="D42" s="42" t="str">
        <x:v>$ / 1M tokens</x:v>
      </x:c>
      <x:c r="E42" s="42" t="str">
        <x:v>https://api-docs.deepseek.com/quick_start/pricing/ — kiểm tra 2026-08-28; peak/off-peak từ 17/08/2026</x:v>
      </x:c>
    </x:row>
    <x:row r="43">
      <x:c r="A43" s="3" t="s">
        <x:v>467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16" hidden="0" customWidth="1"/>
    <x:col min="5" max="5" width="44" hidden="0" customWidth="1"/>
  </x:cols>
  <x:sheetData>
    <x:row r="1">
      <x:c r="A1" s="76" t="str">
        <x:v>DAY 25 — CHECKPOINTS TRƯỚC KHI NỘP</x:v>
      </x:c>
      <x:c r="B1" s="76"/>
      <x:c r="C1" s="76"/>
      <x:c r="D1" s="76"/>
      <x:c r="E1" s="76"/>
      <x:c r="F1" s="76"/>
    </x:row>
    <x:row r="2">
      <x:c r="A2" s="77" t="str">
        <x:v>Tự kiểm theo §5.1–§5.8; chỉ tích mục có bằng chứng trong bài</x:v>
      </x:c>
      <x:c r="B2" s="77"/>
      <x:c r="C2" s="77"/>
      <x:c r="D2" s="77"/>
      <x:c r="E2" s="77"/>
      <x:c r="F2" s="77"/>
    </x:row>
    <x:row r="3">
      <x:c r="A3" s="78" t="str">
        <x:v>TÌNH TRẠNG</x:v>
      </x:c>
      <x:c r="B3" s="79" t="str">
        <x:v>Risk Checklist hoàn tất 26/08/2026; còn Pilot Report và test người lạ</x:v>
      </x:c>
      <x:c r="C3" s="80"/>
      <x:c r="D3" s="80"/>
      <x:c r="E3" s="80"/>
      <x:c r="F3" s="80"/>
    </x:row>
    <x:row r="4">
      <x:c r="A4" s="80"/>
      <x:c r="B4" s="80"/>
      <x:c r="C4" s="80"/>
      <x:c r="D4" s="80"/>
      <x:c r="E4" s="80"/>
      <x:c r="F4" s="80"/>
    </x:row>
    <x:row r="5">
      <x:c r="A5" s="84" t="str">
        <x:v>Checkpoint</x:v>
      </x:c>
      <x:c r="B5" s="84" t="str">
        <x:v>Output yêu cầu</x:v>
      </x:c>
      <x:c r="C5" s="84" t="str">
        <x:v>Trạng thái</x:v>
      </x:c>
      <x:c r="D5" s="84" t="str">
        <x:v>Bằng chứng trong bài</x:v>
      </x:c>
      <x:c r="E5" s="84" t="str">
        <x:v>Ghi chú</x:v>
      </x:c>
      <x:c r="F5" s="80"/>
    </x:row>
    <x:row r="6">
      <x:c r="A6" s="85" t="str">
        <x:v>CP1 — Ngân sách &amp; Job</x:v>
      </x:c>
      <x:c r="B6" s="85" t="str">
        <x:v>Định vị · ngân sách · job đếm được</x:v>
      </x:c>
      <x:c r="C6" s="85" t="str">
        <x:v>☑ ĐÃ LÀM</x:v>
      </x:c>
      <x:c r="D6" s="85" t="str">
        <x:v>1_Cost_Job!B5:B10</x:v>
      </x:c>
      <x:c r="E6" s="85" t="str">
        <x:v>Ngân sách học tập/phần mềm cá nhân; job theo kết quả</x:v>
      </x:c>
      <x:c r="F6" s="80"/>
    </x:row>
    <x:row r="7">
      <x:c r="A7" s="85" t="str">
        <x:v>CP2 — Value Metric</x:v>
      </x:c>
      <x:c r="B7" s="85" t="str">
        <x:v>Metric · Decision Note · 2 benchmark</x:v>
      </x:c>
      <x:c r="C7" s="85" t="str">
        <x:v>☑ ĐÃ LÀM</x:v>
      </x:c>
      <x:c r="D7" s="85" t="str">
        <x:v>3_Value_Metric!B21:B34</x:v>
      </x:c>
      <x:c r="E7" s="85" t="str">
        <x:v>Hybrid; Attribution 6/10; Autonomy 7/10</x:v>
      </x:c>
      <x:c r="F7" s="80"/>
    </x:row>
    <x:row r="8">
      <x:c r="A8" s="85" t="str">
        <x:v>CP3 — Cost/Job &amp; Giá</x:v>
      </x:c>
      <x:c r="B8" s="85" t="str">
        <x:v>5 con số · GM · breakeven · ngày giá</x:v>
      </x:c>
      <x:c r="C8" s="85" t="str">
        <x:v>☑ ĐÃ LÀM</x:v>
      </x:c>
      <x:c r="D8" s="85" t="str">
        <x:v>2_Pricing!B49:B53</x:v>
      </x:c>
      <x:c r="E8" s="85" t="str">
        <x:v>GM 71,4%; breakeven 65,7% (base case off-peak)</x:v>
      </x:c>
      <x:c r="F8" s="80"/>
    </x:row>
    <x:row r="9">
      <x:c r="A9" s="85" t="str">
        <x:v>CP4 — Kênh</x:v>
      </x:c>
      <x:c r="B9" s="85" t="str">
        <x:v>CAC · deal/AE/ngày · đúng 1 kênh</x:v>
      </x:c>
      <x:c r="C9" s="85" t="str">
        <x:v>☑ ĐÃ LÀM</x:v>
      </x:c>
      <x:c r="D9" s="85" t="str">
        <x:v>4_Channel_Fit!B5:B42</x:v>
      </x:c>
      <x:c r="E9" s="85" t="str">
        <x:v>Chọn PLG</x:v>
      </x:c>
      <x:c r="F9" s="80"/>
    </x:row>
    <x:row r="10">
      <x:c r="A10" s="85" t="str">
        <x:v>CP5 — Pain Moment &amp; Plan</x:v>
      </x:c>
      <x:c r="B10" s="85" t="str">
        <x:v>3 phần · điểm nhúng · plan có số/owner</x:v>
      </x:c>
      <x:c r="C10" s="85" t="str">
        <x:v>☑ ĐÃ LÀM</x:v>
      </x:c>
      <x:c r="D10" s="85" t="str">
        <x:v>5_90Day_Plan!B5:D18</x:v>
      </x:c>
      <x:c r="E10" s="85" t="str">
        <x:v>Tháng 1 là giai đoạn học</x:v>
      </x:c>
      <x:c r="F10" s="80"/>
    </x:row>
    <x:row r="11">
      <x:c r="A11" s="85" t="str">
        <x:v>CP6 — One-Pager</x:v>
      </x:c>
      <x:c r="B11" s="85" t="str">
        <x:v>3 khối · số khớp · evidence deadline · stranger test</x:v>
      </x:c>
      <x:c r="C11" s="85" t="str">
        <x:v>◐ MỘT PHẦN</x:v>
      </x:c>
      <x:c r="D11" s="85" t="str">
        <x:v>One-Pager + 5_90Day_Plan!B23:D32</x:v>
      </x:c>
      <x:c r="E11" s="85" t="str">
        <x:v>Nội dung/số đã khớp; Risk xong; còn Pilot Report và test người lạ</x:v>
      </x:c>
      <x:c r="F11" s="80"/>
    </x:row>
    <x:row r="12">
      <x:c r="A12" s="85"/>
      <x:c r="B12" s="85"/>
      <x:c r="C12" s="85"/>
      <x:c r="D12" s="85"/>
      <x:c r="E12" s="85"/>
      <x:c r="F12" s="80"/>
    </x:row>
    <x:row r="13">
      <x:c r="A13" s="84" t="str">
        <x:v>Final Checklist §5.8</x:v>
      </x:c>
      <x:c r="B13" s="84" t="str">
        <x:v>Yêu cầu</x:v>
      </x:c>
      <x:c r="C13" s="84" t="str">
        <x:v>Trạng thái</x:v>
      </x:c>
      <x:c r="D13" s="84" t="str">
        <x:v>Vị trí</x:v>
      </x:c>
      <x:c r="E13" s="84" t="str">
        <x:v>Ghi chú</x:v>
      </x:c>
      <x:c r="F13" s="80"/>
    </x:row>
    <x:row r="14">
      <x:c r="A14" s="85" t="str">
        <x:v>1</x:v>
      </x:c>
      <x:c r="B14" s="85" t="str">
        <x:v>Tab 1 đủ 5 thành phần; không trống vô lý</x:v>
      </x:c>
      <x:c r="C14" s="85" t="str">
        <x:v>☑</x:v>
      </x:c>
      <x:c r="D14" s="85" t="str">
        <x:v>1_Cost_Job</x:v>
      </x:c>
      <x:c r="E14" s="85" t="str">
        <x:v>Speech = 0 vì sản phẩm không thoại; có giải thích</x:v>
      </x:c>
      <x:c r="F14" s="80"/>
    </x:row>
    <x:row r="15">
      <x:c r="A15" s="85" t="str">
        <x:v>2</x:v>
      </x:c>
      <x:c r="B15" s="85" t="str">
        <x:v>Mẫu số là job hoàn thành</x:v>
      </x:c>
      <x:c r="C15" s="85" t="str">
        <x:v>☑</x:v>
      </x:c>
      <x:c r="D15" s="85" t="str">
        <x:v>1_Cost_Job!B11:B12</x:v>
      </x:c>
      <x:c r="E15" s="85" t="str">
        <x:v>Cost/Job chia cho 920 job hoàn thành</x:v>
      </x:c>
      <x:c r="F15" s="80"/>
    </x:row>
    <x:row r="16">
      <x:c r="A16" s="85" t="str">
        <x:v>3</x:v>
      </x:c>
      <x:c r="B16" s="85" t="str">
        <x:v>Giá ≥ 3× Cost/Job; GM ≥60%</x:v>
      </x:c>
      <x:c r="C16" s="85" t="str">
        <x:v>☑</x:v>
      </x:c>
      <x:c r="D16" s="85" t="str">
        <x:v>2_Pricing!B7:B23</x:v>
      </x:c>
      <x:c r="E16" s="85" t="str">
        <x:v>3,5×; GM 71,4%</x:v>
      </x:c>
      <x:c r="F16" s="80"/>
    </x:row>
    <x:row r="17">
      <x:c r="A17" s="85" t="str">
        <x:v>4</x:v>
      </x:c>
      <x:c r="B17" s="85" t="str">
        <x:v>Breakeven đã tính và so với eval</x:v>
      </x:c>
      <x:c r="C17" s="85" t="str">
        <x:v>☑</x:v>
      </x:c>
      <x:c r="D17" s="85" t="str">
        <x:v>2_Pricing!B33:B35</x:v>
      </x:c>
      <x:c r="E17" s="85" t="str">
        <x:v>65,7% so với 92% synthetic</x:v>
      </x:c>
      <x:c r="F17" s="80"/>
    </x:row>
    <x:row r="18">
      <x:c r="A18" s="85" t="str">
        <x:v>5</x:v>
      </x:c>
      <x:c r="B18" s="85" t="str">
        <x:v>Value Metric + Decision Note + 2 benchmark</x:v>
      </x:c>
      <x:c r="C18" s="85" t="str">
        <x:v>☑</x:v>
      </x:c>
      <x:c r="D18" s="85" t="str">
        <x:v>3_Value_Metric!A26:D34</x:v>
      </x:c>
      <x:c r="E18" s="85" t="str">
        <x:v>Có link nguồn</x:v>
      </x:c>
      <x:c r="F18" s="80"/>
    </x:row>
    <x:row r="19">
      <x:c r="A19" s="85" t="str">
        <x:v>6</x:v>
      </x:c>
      <x:c r="B19" s="85" t="str">
        <x:v>CAC · deal/AE/ngày · 1 kênh</x:v>
      </x:c>
      <x:c r="C19" s="85" t="str">
        <x:v>☑</x:v>
      </x:c>
      <x:c r="D19" s="85" t="str">
        <x:v>4_Channel_Fit</x:v>
      </x:c>
      <x:c r="E19" s="85" t="str">
        <x:v>PLG; 29,08 deal/AE/ngày loại Sales-Led</x:v>
      </x:c>
      <x:c r="F19" s="80"/>
    </x:row>
    <x:row r="20">
      <x:c r="A20" s="85" t="str">
        <x:v>7</x:v>
      </x:c>
      <x:c r="B20" s="85" t="str">
        <x:v>90-day plan có số; Evidence có deadline</x:v>
      </x:c>
      <x:c r="C20" s="85" t="str">
        <x:v>☑</x:v>
      </x:c>
      <x:c r="D20" s="85" t="str">
        <x:v>5_90Day_Plan</x:v>
      </x:c>
      <x:c r="E20" s="85" t="str">
        <x:v>Risk/Pilot chưa có nhưng không để trống</x:v>
      </x:c>
      <x:c r="F20" s="80"/>
    </x:row>
    <x:row r="21">
      <x:c r="A21" s="85" t="str">
        <x:v>8</x:v>
      </x:c>
      <x:c r="B21" s="85" t="str">
        <x:v>Ghi ngày kiểm tra giá API</x:v>
      </x:c>
      <x:c r="C21" s="85" t="str">
        <x:v>☑</x:v>
      </x:c>
      <x:c r="D21" s="85" t="str">
        <x:v>6_Benchmarks!B3</x:v>
      </x:c>
      <x:c r="E21" s="85" t="str">
        <x:v>2026-08-28</x:v>
      </x:c>
      <x:c r="F21" s="80"/>
    </x:row>
    <x:row r="22">
      <x:c r="A22" s="85" t="str">
        <x:v>9</x:v>
      </x:c>
      <x:c r="B22" s="85" t="str">
        <x:v>One-Pager 3 khối; số khớp Excel</x:v>
      </x:c>
      <x:c r="C22" s="85" t="str">
        <x:v>☑</x:v>
      </x:c>
      <x:c r="D22" s="85" t="str">
        <x:v>One-Pager</x:v>
      </x:c>
      <x:c r="E22" s="85" t="str">
        <x:v>Pricing · GTM · Evidence</x:v>
      </x:c>
      <x:c r="F22" s="80"/>
    </x:row>
    <x:row r="23">
      <x:c r="A23" s="85" t="str">
        <x:v>10</x:v>
      </x:c>
      <x:c r="B23" s="85" t="str">
        <x:v>Chạy ≥2 prompt §4.7 + ghi accept/reject</x:v>
      </x:c>
      <x:c r="C23" s="85" t="str">
        <x:v>☑</x:v>
      </x:c>
      <x:c r="D23" s="85" t="str">
        <x:v>7_Checkpoints!A25:E31</x:v>
      </x:c>
      <x:c r="E23" s="85" t="str">
        <x:v>Đã chạy 4.7.1 và 4.7.5; log Accept/Reject/Partial ở dưới</x:v>
      </x:c>
      <x:c r="F23" s="80"/>
    </x:row>
    <x:row r="24">
      <x:c r="A24" s="80"/>
      <x:c r="B24" s="80"/>
      <x:c r="C24" s="80"/>
      <x:c r="D24" s="80"/>
      <x:c r="E24" s="80"/>
      <x:c r="F24" s="80"/>
    </x:row>
    <x:row r="25">
      <x:c r="A25" s="100" t="str">
        <x:v>PROMPT REVIEW LOG — §4.7</x:v>
      </x:c>
      <x:c r="B25" s="100" t="str">
        <x:v>PROMPT REVIEW LOG — §4.7</x:v>
      </x:c>
      <x:c r="C25" s="100" t="str">
        <x:v>PROMPT REVIEW LOG — §4.7</x:v>
      </x:c>
      <x:c r="D25" s="100" t="str">
        <x:v>PROMPT REVIEW LOG — §4.7</x:v>
      </x:c>
      <x:c r="E25" s="100" t="str">
        <x:v>PROMPT REVIEW LOG — §4.7</x:v>
      </x:c>
    </x:row>
    <x:row r="26">
      <x:c r="A26" s="101" t="str">
        <x:v>Ngày</x:v>
      </x:c>
      <x:c r="B26" s="101" t="str">
        <x:v>Prompt</x:v>
      </x:c>
      <x:c r="C26" s="101" t="str">
        <x:v>Phát hiện</x:v>
      </x:c>
      <x:c r="D26" s="101" t="str">
        <x:v>Quyết định</x:v>
      </x:c>
      <x:c r="E26" s="101" t="str">
        <x:v>Ghi nhận trong bài</x:v>
      </x:c>
    </x:row>
    <x:row r="27">
      <x:c r="A27" s="85" t="str">
        <x:v>2026-08-28</x:v>
      </x:c>
      <x:c r="B27" s="85" t="str">
        <x:v>4.7.1 Cost/Job Stress Test</x:v>
      </x:c>
      <x:c r="C27" s="85" t="str">
        <x:v>Giá DeepSeek phải dùng peak/off-peak theo nguồn chính thức.</x:v>
      </x:c>
      <x:c r="D27" s="85" t="str">
        <x:v>ACCEPT</x:v>
      </x:c>
      <x:c r="E27" s="85" t="str">
        <x:v>Cập nhật giá off-peak; base case khớp khung dùng 20:00–23:00, vẫn ghi rủi ro peak.</x:v>
      </x:c>
    </x:row>
    <x:row r="28">
      <x:c r="A28" s="85" t="str">
        <x:v>2026-08-28</x:v>
      </x:c>
      <x:c r="B28" s="85" t="str">
        <x:v>4.7.1 Cost/Job Stress Test</x:v>
      </x:c>
      <x:c r="C28" s="85" t="str">
        <x:v>Mẫu số bị nghi là job thử.</x:v>
      </x:c>
      <x:c r="D28" s="85" t="str">
        <x:v>REJECT</x:v>
      </x:c>
      <x:c r="E28" s="85" t="str">
        <x:v>Model đã chia tổng chi phí cho 920 job HOÀN THÀNH, không phải 1.000 job thử.</x:v>
      </x:c>
    </x:row>
    <x:row r="29">
      <x:c r="A29" s="85" t="str">
        <x:v>2026-08-28</x:v>
      </x:c>
      <x:c r="B29" s="85" t="str">
        <x:v>4.7.1 Cost/Job Stress Test</x:v>
      </x:c>
      <x:c r="C29" s="85" t="str">
        <x:v>Overhead = 0 và retry chưa có dữ liệu production.</x:v>
      </x:c>
      <x:c r="D29" s="85" t="str">
        <x:v>PARTIAL</x:v>
      </x:c>
      <x:c r="E29" s="85" t="str">
        <x:v>Giữ pure COGS; ghi rõ chi phí fixed/traffic thật chưa được đưa vào và cần đo trong pilot.</x:v>
      </x:c>
    </x:row>
    <x:row r="30">
      <x:c r="A30" s="85" t="str">
        <x:v>2026-08-28</x:v>
      </x:c>
      <x:c r="B30" s="85" t="str">
        <x:v>4.7.5 One-Pager Defensibility Check</x:v>
      </x:c>
      <x:c r="C30" s="85" t="str">
        <x:v>Eval 92% mới là 25 ca synthetic, verdict HOLD.</x:v>
      </x:c>
      <x:c r="D30" s="85" t="str">
        <x:v>ACCEPT</x:v>
      </x:c>
      <x:c r="E30" s="85" t="str">
        <x:v>Giữ nhãn HOLD; không nâng thành production evidence hay Outcome pricing.</x:v>
      </x:c>
    </x:row>
    <x:row r="31">
      <x:c r="A31" s="85" t="str">
        <x:v>2026-08-28</x:v>
      </x:c>
      <x:c r="B31" s="85" t="str">
        <x:v>4.7.5 One-Pager Defensibility Check</x:v>
      </x:c>
      <x:c r="C31" s="85" t="str">
        <x:v>GitHub benchmark dùng AI Credits; CAC 350.000đ là giả định back-solve.</x:v>
      </x:c>
      <x:c r="D31" s="85" t="str">
        <x:v>PARTIAL</x:v>
      </x:c>
      <x:c r="E31" s="85" t="str">
        <x:v>Cập nhật thuật ngữ AI Credits; đổi nhãn CAC thành kế hoạch ước tính.</x:v>
      </x:c>
    </x:row>
  </x:sheetData>
  <x:mergeCells>
    <x:mergeCell ref="A25:E25"/>
  </x:mergeCells>
  <x:pageMargins left="0.7" right="0.7" top="0.75" bottom="0.75" header="0.3" footer="0.3"/>
</x:worksheet>
</file>